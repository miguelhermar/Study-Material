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iguel\Desktop\"/>
    </mc:Choice>
  </mc:AlternateContent>
  <xr:revisionPtr revIDLastSave="0" documentId="8_{B3BF61F5-0932-4565-950C-91FF30E6DFFC}" xr6:coauthVersionLast="47" xr6:coauthVersionMax="47" xr10:uidLastSave="{00000000-0000-0000-0000-000000000000}"/>
  <bookViews>
    <workbookView xWindow="-120" yWindow="-120" windowWidth="20520" windowHeight="12180" firstSheet="1" activeTab="1" xr2:uid="{00000000-000D-0000-FFFF-FFFF00000000}"/>
  </bookViews>
  <sheets>
    <sheet name="PivotTable" sheetId="9" state="hidden" r:id="rId1"/>
    <sheet name="All Studios P&amp;L" sheetId="10" r:id="rId2"/>
    <sheet name="target" sheetId="11" r:id="rId3"/>
    <sheet name="MovieFinancials" sheetId="8" r:id="rId4"/>
    <sheet name="movies" sheetId="1" r:id="rId5"/>
    <sheet name="financials" sheetId="2" r:id="rId6"/>
    <sheet name="actors" sheetId="3" r:id="rId7"/>
    <sheet name="movie_actor" sheetId="4" r:id="rId8"/>
    <sheet name="languages" sheetId="5" r:id="rId9"/>
  </sheets>
  <definedNames>
    <definedName name="_xlcn.WorksheetConnection_PowerPivot.xlsxtarget1" hidden="1">target[]</definedName>
    <definedName name="ExternalData_1" localSheetId="3" hidden="1">MovieFinancials!$A$1:$S$39</definedName>
  </definedNames>
  <calcPr calcId="191029"/>
  <pivotCaches>
    <pivotCache cacheId="0" r:id="rId10"/>
    <pivotCache cacheId="16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tudiopnl_a50ec86f-c9cd-4853-acaa-a88bc7ab9a7f" name="studiopnl" connection="Query - studiopnl"/>
          <x15:modelTable id="target" name="target" connection="WorksheetConnection_Power Pivot.xlsx!target"/>
        </x15:modelTables>
        <x15:modelRelationships>
          <x15:modelRelationship fromTable="studiopnl" fromColumn="studio" toTable="target" toColumn="studi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395012-FFC8-D340-A117-F964B116CB29}" keepAlive="1" name="Query - Financials" description="Connection to the 'Financials' query in the workbook." type="5" refreshedVersion="0" background="1">
    <dbPr connection="Provider=Microsoft.Mashup.OleDb.1;Data Source=$Workbook$;Location=Financials;Extended Properties=&quot;&quot;" command="SELECT * FROM [Financials]"/>
  </connection>
  <connection id="2" xr16:uid="{D0ACC904-7186-CC41-AA6A-E4AAF632A8BD}" keepAlive="1" name="Query - MovieFinancials" description="Connection to the 'MovieFinancials' query in the workbook." type="5" refreshedVersion="0" background="1">
    <dbPr connection="Provider=Microsoft.Mashup.OleDb.1;Data Source=$Workbook$;Location=MovieFinancials;Extended Properties=&quot;&quot;" command="SELECT * FROM [MovieFinancials]"/>
  </connection>
  <connection id="3" xr16:uid="{80345E6F-E68A-2E4D-8FED-4267255593F0}" keepAlive="1" name="Query - MovieFinancials (2)" description="Connection to the 'MovieFinancials (2)' query in the workbook." type="5" refreshedVersion="8" background="1" saveData="1">
    <dbPr connection="Provider=Microsoft.Mashup.OleDb.1;Data Source=$Workbook$;Location=&quot;MovieFinancials (2)&quot;;Extended Properties=&quot;&quot;" command="SELECT * FROM [MovieFinancials (2)]"/>
  </connection>
  <connection id="4" xr16:uid="{16EDCF7E-8169-404A-BA6D-2A98AB52F8AD}" keepAlive="1" name="Query - Movies(1)" description="Connection to the 'Movies' query in the workbook." type="5" refreshedVersion="0" background="1">
    <dbPr connection="Provider=Microsoft.Mashup.OleDb.1;Data Source=$Workbook$;Location=Movies;Extended Properties=&quot;&quot;" command="SELECT * FROM [Movies]"/>
  </connection>
  <connection id="5" xr16:uid="{19C6BDD2-50FC-4169-BDD8-28D9DE90AA96}" name="Query - studiopnl" description="Connection to the 'studiopnl' query in the workbook." type="100" refreshedVersion="8" minRefreshableVersion="5">
    <extLst>
      <ext xmlns:x15="http://schemas.microsoft.com/office/spreadsheetml/2010/11/main" uri="{DE250136-89BD-433C-8126-D09CA5730AF9}">
        <x15:connection id="1ac936ca-8502-4df0-9e32-977a3ce97dd7"/>
      </ext>
    </extLst>
  </connection>
  <connection id="6" xr16:uid="{6BE24B4A-6358-454B-ADFE-FF73408115D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F053F130-2CFB-4DFF-B69E-1D28FE743D36}" name="WorksheetConnection_Power Pivot.xlsx!target" type="102" refreshedVersion="8" minRefreshableVersion="5">
    <extLst>
      <ext xmlns:x15="http://schemas.microsoft.com/office/spreadsheetml/2010/11/main" uri="{DE250136-89BD-433C-8126-D09CA5730AF9}">
        <x15:connection id="target">
          <x15:rangePr sourceName="_xlcn.WorksheetConnection_PowerPivot.xlsxtarget1"/>
        </x15:connection>
      </ext>
    </extLst>
  </connection>
</connections>
</file>

<file path=xl/sharedStrings.xml><?xml version="1.0" encoding="utf-8"?>
<sst xmlns="http://schemas.openxmlformats.org/spreadsheetml/2006/main" count="636" uniqueCount="266">
  <si>
    <t>movie_id</t>
  </si>
  <si>
    <t>industry</t>
  </si>
  <si>
    <t>release_year</t>
  </si>
  <si>
    <t>imdb_rating</t>
  </si>
  <si>
    <t>studio</t>
  </si>
  <si>
    <t>language_id</t>
  </si>
  <si>
    <t>Bollywood</t>
  </si>
  <si>
    <t>Hollywood</t>
  </si>
  <si>
    <t>Marvel Studios</t>
  </si>
  <si>
    <t>United Producers</t>
  </si>
  <si>
    <t>Yash Raj Films</t>
  </si>
  <si>
    <t>Vinod Chopra Films</t>
  </si>
  <si>
    <t>Dharma Productions</t>
  </si>
  <si>
    <t>Castle Rock Entertainment</t>
  </si>
  <si>
    <t>Warner Bros. Pictures</t>
  </si>
  <si>
    <t>Columbia Pictures</t>
  </si>
  <si>
    <t xml:space="preserve">Universal Pictures  </t>
  </si>
  <si>
    <t>Paramount Pictures</t>
  </si>
  <si>
    <t>Liberty Films</t>
  </si>
  <si>
    <t>20th Century Fox</t>
  </si>
  <si>
    <t>Syncopy</t>
  </si>
  <si>
    <t>Universal Pictures</t>
  </si>
  <si>
    <t>Vinod Chopra Productions</t>
  </si>
  <si>
    <t>Mythri Movie Makers</t>
  </si>
  <si>
    <t>DVV Entertainment</t>
  </si>
  <si>
    <t>Arka Media Works</t>
  </si>
  <si>
    <t>Zee Studios</t>
  </si>
  <si>
    <t>Salman Khan Films</t>
  </si>
  <si>
    <t>budget</t>
  </si>
  <si>
    <t>revenue</t>
  </si>
  <si>
    <t>unit</t>
  </si>
  <si>
    <t>currency</t>
  </si>
  <si>
    <t>Billions</t>
  </si>
  <si>
    <t>INR</t>
  </si>
  <si>
    <t>Millions</t>
  </si>
  <si>
    <t>USD</t>
  </si>
  <si>
    <t>actor_id</t>
  </si>
  <si>
    <t>name</t>
  </si>
  <si>
    <t>birth_year</t>
  </si>
  <si>
    <t>Yash</t>
  </si>
  <si>
    <t>Sanjay Dutt</t>
  </si>
  <si>
    <t>Benedict Cumberbatch</t>
  </si>
  <si>
    <t>Elizabeth Olsen</t>
  </si>
  <si>
    <t>Chris Hemsworth</t>
  </si>
  <si>
    <t>Natalie Portman</t>
  </si>
  <si>
    <t>Tom Hiddleston</t>
  </si>
  <si>
    <t>Amitabh Bachchan</t>
  </si>
  <si>
    <t>Jaya Bachchan</t>
  </si>
  <si>
    <t>Shah Rukh Khan</t>
  </si>
  <si>
    <t>Kajol</t>
  </si>
  <si>
    <t>Aamir Khan</t>
  </si>
  <si>
    <t>R. Madhavan</t>
  </si>
  <si>
    <t>Sharman Joshi</t>
  </si>
  <si>
    <t>Hrithik Roshan</t>
  </si>
  <si>
    <t>Ranveer Singh</t>
  </si>
  <si>
    <t>Deepika Padukone</t>
  </si>
  <si>
    <t>Tim Robbins</t>
  </si>
  <si>
    <t>Morgan Freeman</t>
  </si>
  <si>
    <t>Leonardo DiCaprio</t>
  </si>
  <si>
    <t>Ken Watanabe</t>
  </si>
  <si>
    <t>Matthew McConaughey</t>
  </si>
  <si>
    <t>Anne Hathaway</t>
  </si>
  <si>
    <t>John David Washington</t>
  </si>
  <si>
    <t>Robert Pattinson</t>
  </si>
  <si>
    <t>Will Smith</t>
  </si>
  <si>
    <t>Thandiwe Newton</t>
  </si>
  <si>
    <t>Russell Crowe</t>
  </si>
  <si>
    <t>Joaquin Phoenix</t>
  </si>
  <si>
    <t>Kate Winslet</t>
  </si>
  <si>
    <t>James Stewart</t>
  </si>
  <si>
    <t>Donna Reed</t>
  </si>
  <si>
    <t>Sam Worthington</t>
  </si>
  <si>
    <t>Zoe Saldana</t>
  </si>
  <si>
    <t>Marlon Brando</t>
  </si>
  <si>
    <t>Al Pacino</t>
  </si>
  <si>
    <t>Christian Bale</t>
  </si>
  <si>
    <t>Heath Ledger</t>
  </si>
  <si>
    <t>Liam Neeson</t>
  </si>
  <si>
    <t>Ben Kingsley</t>
  </si>
  <si>
    <t>Sam Neill</t>
  </si>
  <si>
    <t>Laura Dern</t>
  </si>
  <si>
    <t>Song Kang-ho</t>
  </si>
  <si>
    <t>Lee Sun-kyun</t>
  </si>
  <si>
    <t>Robert Downey Jr.</t>
  </si>
  <si>
    <t>Chris Evans</t>
  </si>
  <si>
    <t>Kanu Banerjee</t>
  </si>
  <si>
    <t>Karuna Banerjee</t>
  </si>
  <si>
    <t>Darsheel Safary</t>
  </si>
  <si>
    <t>Sunil Dutt</t>
  </si>
  <si>
    <t>Anushka Sharma</t>
  </si>
  <si>
    <t>Ranbir Kapoor</t>
  </si>
  <si>
    <t>Allu Arjun</t>
  </si>
  <si>
    <t>Fahadh Faasil</t>
  </si>
  <si>
    <t>N. T. Rama Rao Jr.</t>
  </si>
  <si>
    <t>Ram Charan</t>
  </si>
  <si>
    <t>Prabhas</t>
  </si>
  <si>
    <t>Rana Daggubati</t>
  </si>
  <si>
    <t>Mithun Chakraborty</t>
  </si>
  <si>
    <t>Anupam Kher</t>
  </si>
  <si>
    <t>Salman Khan</t>
  </si>
  <si>
    <t>Nawazuddin Siddiqui</t>
  </si>
  <si>
    <t>Tommy Lee Jones</t>
  </si>
  <si>
    <t>Sebastian Stan</t>
  </si>
  <si>
    <t>Anil Kapoor</t>
  </si>
  <si>
    <t>Sidharth Malhotra</t>
  </si>
  <si>
    <t>Kiara Advani</t>
  </si>
  <si>
    <t>Hindi</t>
  </si>
  <si>
    <t>Telugu</t>
  </si>
  <si>
    <t>Kannada</t>
  </si>
  <si>
    <t>Tamil</t>
  </si>
  <si>
    <t>English</t>
  </si>
  <si>
    <t>French</t>
  </si>
  <si>
    <t>Bengali</t>
  </si>
  <si>
    <t>Gujarati</t>
  </si>
  <si>
    <t>NULL</t>
  </si>
  <si>
    <t>movie_id_title</t>
  </si>
  <si>
    <t xml:space="preserve">  Hombale Films</t>
  </si>
  <si>
    <t xml:space="preserve">  Vinod Chopra Films</t>
  </si>
  <si>
    <t xml:space="preserve"> Marvel Studios</t>
  </si>
  <si>
    <t xml:space="preserve">    Paramount Pictures</t>
  </si>
  <si>
    <t>101:K.G.F: Chapter 2</t>
  </si>
  <si>
    <t>102:Doctor Strange in the Multiverse of Madness</t>
  </si>
  <si>
    <t xml:space="preserve">103:Thor: The Dark World </t>
  </si>
  <si>
    <t xml:space="preserve">104:Thor: Ragnarok </t>
  </si>
  <si>
    <t xml:space="preserve">105:Thor: Love and Thunder </t>
  </si>
  <si>
    <t>106:Sholay</t>
  </si>
  <si>
    <t>107:Dilwale Dulhania Le Jayenge</t>
  </si>
  <si>
    <t>108: 3 Idiots</t>
  </si>
  <si>
    <t>109:Kabhi Khushi Kabhie Gham</t>
  </si>
  <si>
    <t xml:space="preserve">110:Bajirao Mastani </t>
  </si>
  <si>
    <t>111: The Shawshank Redemption</t>
  </si>
  <si>
    <t>112:Inception</t>
  </si>
  <si>
    <t>113:Interstellar</t>
  </si>
  <si>
    <t>115:The Pursuit of Happyness</t>
  </si>
  <si>
    <t>116:Gladiator</t>
  </si>
  <si>
    <t>117:Titanic</t>
  </si>
  <si>
    <t>118:It's a Wonderful Life</t>
  </si>
  <si>
    <t>119:Avatar</t>
  </si>
  <si>
    <t>120:The Godfather</t>
  </si>
  <si>
    <t>121:The Dark Knight</t>
  </si>
  <si>
    <t>122:Schindler's List</t>
  </si>
  <si>
    <t>123:Jurassic Park</t>
  </si>
  <si>
    <t>124:Parasite</t>
  </si>
  <si>
    <t>125:Avengers: Endgame</t>
  </si>
  <si>
    <t>126:Avengers: Infinity War</t>
  </si>
  <si>
    <t>128:Taare Zameen Par</t>
  </si>
  <si>
    <t>129:Munna Bhai M.B.B.S.</t>
  </si>
  <si>
    <t>130:PK</t>
  </si>
  <si>
    <t>131:Sanju</t>
  </si>
  <si>
    <t>132:Pushpa: The Rise - Part 1</t>
  </si>
  <si>
    <t>133:RRR</t>
  </si>
  <si>
    <t>134:Baahubali: The Beginning</t>
  </si>
  <si>
    <t>135:The Kashmir Files</t>
  </si>
  <si>
    <t>136:Bajrangi Bhaijaan</t>
  </si>
  <si>
    <t>137:Captain America: The First Avenger</t>
  </si>
  <si>
    <t>138:Captain America: The Winter Soldier</t>
  </si>
  <si>
    <t>139:Race 3</t>
  </si>
  <si>
    <t>140:Shershaah</t>
  </si>
  <si>
    <t>Column1</t>
  </si>
  <si>
    <t>title</t>
  </si>
  <si>
    <t>unit_factor</t>
  </si>
  <si>
    <t>budget_mln</t>
  </si>
  <si>
    <t>revenue_mln</t>
  </si>
  <si>
    <t>budget INR</t>
  </si>
  <si>
    <t>revenue INR</t>
  </si>
  <si>
    <t>budget USD</t>
  </si>
  <si>
    <t>revenue USD</t>
  </si>
  <si>
    <t>101</t>
  </si>
  <si>
    <t>K.G.F: Chapter 2</t>
  </si>
  <si>
    <t>Hombale Films</t>
  </si>
  <si>
    <t>102</t>
  </si>
  <si>
    <t>Doctor Strange in the Multiverse of Madness</t>
  </si>
  <si>
    <t>103</t>
  </si>
  <si>
    <t xml:space="preserve">Thor: The Dark World </t>
  </si>
  <si>
    <t>104</t>
  </si>
  <si>
    <t xml:space="preserve">Thor: Ragnarok </t>
  </si>
  <si>
    <t>105</t>
  </si>
  <si>
    <t xml:space="preserve">Thor: Love and Thunder </t>
  </si>
  <si>
    <t>107</t>
  </si>
  <si>
    <t>Dilwale Dulhania Le Jayenge</t>
  </si>
  <si>
    <t>108</t>
  </si>
  <si>
    <t xml:space="preserve"> 3 Idiots</t>
  </si>
  <si>
    <t>109</t>
  </si>
  <si>
    <t>Kabhi Khushi Kabhie Gham</t>
  </si>
  <si>
    <t>110</t>
  </si>
  <si>
    <t xml:space="preserve">Bajirao Mastani </t>
  </si>
  <si>
    <t>Not Available</t>
  </si>
  <si>
    <t>111</t>
  </si>
  <si>
    <t xml:space="preserve"> The Shawshank Redemption</t>
  </si>
  <si>
    <t>113</t>
  </si>
  <si>
    <t>Interstellar</t>
  </si>
  <si>
    <t>115</t>
  </si>
  <si>
    <t>The Pursuit of Happyness</t>
  </si>
  <si>
    <t>116</t>
  </si>
  <si>
    <t>Gladiator</t>
  </si>
  <si>
    <t>117</t>
  </si>
  <si>
    <t>Titanic</t>
  </si>
  <si>
    <t>118</t>
  </si>
  <si>
    <t>It's a Wonderful Life</t>
  </si>
  <si>
    <t>119</t>
  </si>
  <si>
    <t>Avatar</t>
  </si>
  <si>
    <t>120</t>
  </si>
  <si>
    <t>The Godfather</t>
  </si>
  <si>
    <t>121</t>
  </si>
  <si>
    <t>The Dark Knight</t>
  </si>
  <si>
    <t>122</t>
  </si>
  <si>
    <t>Schindler's List</t>
  </si>
  <si>
    <t>123</t>
  </si>
  <si>
    <t>Jurassic Park</t>
  </si>
  <si>
    <t>124</t>
  </si>
  <si>
    <t>Parasite</t>
  </si>
  <si>
    <t>125</t>
  </si>
  <si>
    <t>Avengers: Endgame</t>
  </si>
  <si>
    <t>126</t>
  </si>
  <si>
    <t>Avengers: Infinity War</t>
  </si>
  <si>
    <t>Pather Panchali</t>
  </si>
  <si>
    <t>Government of West Bengal</t>
  </si>
  <si>
    <t>128</t>
  </si>
  <si>
    <t>Taare Zameen Par</t>
  </si>
  <si>
    <t>129</t>
  </si>
  <si>
    <t>Munna Bhai M.B.B.S.</t>
  </si>
  <si>
    <t>130</t>
  </si>
  <si>
    <t>PK</t>
  </si>
  <si>
    <t>131</t>
  </si>
  <si>
    <t>Sanju</t>
  </si>
  <si>
    <t>132</t>
  </si>
  <si>
    <t>Pushpa: The Rise - Part 1</t>
  </si>
  <si>
    <t>133</t>
  </si>
  <si>
    <t>RRR</t>
  </si>
  <si>
    <t>134</t>
  </si>
  <si>
    <t>Baahubali: The Beginning</t>
  </si>
  <si>
    <t>135</t>
  </si>
  <si>
    <t>The Kashmir Files</t>
  </si>
  <si>
    <t>136</t>
  </si>
  <si>
    <t>Bajrangi Bhaijaan</t>
  </si>
  <si>
    <t>137</t>
  </si>
  <si>
    <t>Captain America: The First Avenger</t>
  </si>
  <si>
    <t>138</t>
  </si>
  <si>
    <t>Captain America: The Winter Soldier</t>
  </si>
  <si>
    <t>139</t>
  </si>
  <si>
    <t>Race 3</t>
  </si>
  <si>
    <t>140</t>
  </si>
  <si>
    <t>Shershaah</t>
  </si>
  <si>
    <t>106</t>
  </si>
  <si>
    <t>Sholay</t>
  </si>
  <si>
    <t>112</t>
  </si>
  <si>
    <t>Inception</t>
  </si>
  <si>
    <t>Row Labels</t>
  </si>
  <si>
    <t>Grand Total</t>
  </si>
  <si>
    <t>Budget USD mln</t>
  </si>
  <si>
    <t>Revenue USD mln</t>
  </si>
  <si>
    <t>profit USD</t>
  </si>
  <si>
    <t>Profit USD mln</t>
  </si>
  <si>
    <t>Imdb rating</t>
  </si>
  <si>
    <t>Top Grossing Movies</t>
  </si>
  <si>
    <t>Revenue $ mi</t>
  </si>
  <si>
    <t>budget $ mi</t>
  </si>
  <si>
    <t>P/L $ mi</t>
  </si>
  <si>
    <t>P&amp;L %</t>
  </si>
  <si>
    <t>target</t>
  </si>
  <si>
    <t>target $ mln</t>
  </si>
  <si>
    <t>max target</t>
  </si>
  <si>
    <t>Actuals - Target $ mln</t>
  </si>
  <si>
    <t>Actuals - Target %</t>
  </si>
  <si>
    <t>All Studios P&amp;L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</si>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</sst>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7" formatCode="&quot;$&quot;#,##0.00_);\(&quot;$&quot;#,##0.00\)"/>
    <numFmt numFmtId="164" formatCode="&quot;$&quot;#,##0.00;[Red]\-&quot;$&quot;#,##0.00"/>
    <numFmt numFmtId="165" formatCode="&quot;$&quot;#,##0.00"/>
    <numFmt numFmtId="166" formatCode="\$#,##0.00;\-\$#,##0.00;\$#,##0.00"/>
    <numFmt numFmtId="167" formatCode="0.0\ %;\-0.0\ %;0.0\ %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167" fontId="0" fillId="0" borderId="0" xfId="0" applyNumberFormat="1"/>
    <xf numFmtId="164" fontId="0" fillId="0" borderId="0" xfId="0" applyNumberFormat="1"/>
    <xf numFmtId="7" fontId="0" fillId="0" borderId="0" xfId="0" applyNumberFormat="1"/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;[Red]\-&quot;$&quot;#,##0.00"/>
    </dxf>
    <dxf>
      <numFmt numFmtId="11" formatCode="&quot;$&quot;#,##0.00_);\(&quot;$&quot;#,##0.00\)"/>
    </dxf>
    <dxf>
      <numFmt numFmtId="165" formatCode="&quot;$&quot;#,##0.00"/>
    </dxf>
  </dxfs>
  <tableStyles count="1" defaultTableStyle="TableStyleMedium2" defaultPivotStyle="PivotStyleLight16">
    <tableStyle name="Invisible" pivot="0" table="0" count="0" xr9:uid="{D5B51761-EC38-492B-A196-966340511E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microsoft.com/office/2006/relationships/vbaProject" Target="vbaProject.bin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2</xdr:row>
          <xdr:rowOff>76200</xdr:rowOff>
        </xdr:from>
        <xdr:to>
          <xdr:col>11</xdr:col>
          <xdr:colOff>219074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guel Hermar" refreshedDate="45191.751621064817" createdVersion="8" refreshedVersion="8" minRefreshableVersion="3" recordCount="39" xr:uid="{0136455A-A48D-444B-9791-1E426FFBB9D8}">
  <cacheSource type="worksheet">
    <worksheetSource name="MovieFinancials"/>
  </cacheSource>
  <cacheFields count="19">
    <cacheField name="movie_id" numFmtId="0">
      <sharedItems/>
    </cacheField>
    <cacheField name="title" numFmtId="0">
      <sharedItems count="39">
        <s v="K.G.F: Chapter 2"/>
        <s v="Doctor Strange in the Multiverse of Madness"/>
        <s v="Thor: The Dark World "/>
        <s v="Thor: Ragnarok "/>
        <s v="Thor: Love and Thunder "/>
        <s v="Dilwale Dulhania Le Jayenge"/>
        <s v=" 3 Idiots"/>
        <s v="Kabhi Khushi Kabhie Gham"/>
        <s v="Bajirao Mastani "/>
        <s v=" The Shawshank Redemption"/>
        <s v="Interstellar"/>
        <s v="The Pursuit of Happyness"/>
        <s v="Gladiator"/>
        <s v="Titanic"/>
        <s v="It's a Wonderful Life"/>
        <s v="Avatar"/>
        <s v="The Godfather"/>
        <s v="The Dark Knight"/>
        <s v="Schindler's List"/>
        <s v="Jurassic Park"/>
        <s v="Parasite"/>
        <s v="Avengers: Endgame"/>
        <s v="Avengers: Infinity War"/>
        <s v="Pather Panchali"/>
        <s v="Taare Zameen Par"/>
        <s v="Munna Bhai M.B.B.S."/>
        <s v="PK"/>
        <s v="Sanju"/>
        <s v="Pushpa: The Rise - Part 1"/>
        <s v="RRR"/>
        <s v="Baahubali: The Beginning"/>
        <s v="The Kashmir Files"/>
        <s v="Bajrangi Bhaijaan"/>
        <s v="Captain America: The First Avenger"/>
        <s v="Captain America: The Winter Soldier"/>
        <s v="Race 3"/>
        <s v="Shershaah"/>
        <s v="Sholay"/>
        <s v="Inception"/>
      </sharedItems>
    </cacheField>
    <cacheField name="industry" numFmtId="0">
      <sharedItems count="2">
        <s v="Bollywood"/>
        <s v="Hollywood"/>
      </sharedItems>
    </cacheField>
    <cacheField name="release_year" numFmtId="0">
      <sharedItems containsSemiMixedTypes="0" containsString="0" containsNumber="1" containsInteger="1" minValue="1946" maxValue="2022"/>
    </cacheField>
    <cacheField name="imdb_rating" numFmtId="0">
      <sharedItems containsString="0" containsBlank="1" containsNumber="1" minValue="1.9" maxValue="9.3000000000000007"/>
    </cacheField>
    <cacheField name="studio" numFmtId="0">
      <sharedItems/>
    </cacheField>
    <cacheField name="language_id" numFmtId="0">
      <sharedItems containsSemiMixedTypes="0" containsString="0" containsNumber="1" containsInteger="1" minValue="1" maxValue="7"/>
    </cacheField>
    <cacheField name="budget" numFmtId="0">
      <sharedItems containsString="0" containsBlank="1" containsNumber="1" minValue="1" maxValue="900"/>
    </cacheField>
    <cacheField name="revenue" numFmtId="0">
      <sharedItems containsString="0" containsBlank="1" containsNumber="1" minValue="3.1" maxValue="11690"/>
    </cacheField>
    <cacheField name="unit" numFmtId="0">
      <sharedItems containsBlank="1"/>
    </cacheField>
    <cacheField name="currency" numFmtId="0">
      <sharedItems containsBlank="1"/>
    </cacheField>
    <cacheField name="unit_factor" numFmtId="0">
      <sharedItems containsSemiMixedTypes="0" containsString="0" containsNumber="1" containsInteger="1" minValue="1" maxValue="1000"/>
    </cacheField>
    <cacheField name="budget_mln" numFmtId="0">
      <sharedItems containsString="0" containsBlank="1" containsNumber="1" minValue="3.18" maxValue="5500"/>
    </cacheField>
    <cacheField name="revenue_mln" numFmtId="0">
      <sharedItems containsString="0" containsBlank="1" containsNumber="1" minValue="3.3" maxValue="12500"/>
    </cacheField>
    <cacheField name="budget INR" numFmtId="0">
      <sharedItems containsString="0" containsBlank="1" containsNumber="1" minValue="70" maxValue="32000"/>
    </cacheField>
    <cacheField name="revenue INR" numFmtId="0">
      <sharedItems containsString="0" containsBlank="1" containsNumber="1" containsInteger="1" minValue="100" maxValue="227760"/>
    </cacheField>
    <cacheField name="budget USD" numFmtId="0">
      <sharedItems containsString="0" containsBlank="1" containsNumber="1" minValue="0.875" maxValue="400"/>
    </cacheField>
    <cacheField name="revenue USD" numFmtId="0">
      <sharedItems containsString="0" containsBlank="1" containsNumber="1" minValue="1.25" maxValue="2847"/>
    </cacheField>
    <cacheField name="profit USD" numFmtId="0">
      <sharedItems containsString="0" containsBlank="1" containsNumber="1" minValue="0.12" maxValue="26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guel" refreshedDate="45193.521769791667" backgroundQuery="1" createdVersion="8" refreshedVersion="8" minRefreshableVersion="3" recordCount="0" supportSubquery="1" supportAdvancedDrill="1" xr:uid="{9D61AD25-3329-48A9-91F6-8B73D5130171}">
  <cacheSource type="external" connectionId="6"/>
  <cacheFields count="10">
    <cacheField name="[studiopnl].[studio].[studio]" caption="studio" numFmtId="0" hierarchy="5" level="1">
      <sharedItems count="19">
        <s v="Arka Media Works"/>
        <s v="Dharma Productions"/>
        <s v="DVV Entertainment"/>
        <s v="Hombale Films"/>
        <s v="Mythri Movie Makers"/>
        <s v="Salman Khan Films"/>
        <s v="Vinod Chopra Films"/>
        <s v="Vinod Chopra Productions"/>
        <s v="Yash Raj Films"/>
        <s v="Zee Studios"/>
        <s v="20th Century Fox"/>
        <s v="Castle Rock Entertainment"/>
        <s v="Columbia Pictures"/>
        <s v="Liberty Films"/>
        <s v="Marvel Studios"/>
        <s v="Paramount Pictures"/>
        <s v="Syncopy"/>
        <s v="Universal Pictures"/>
        <s v="Warner Bros. Pictures"/>
      </sharedItems>
    </cacheField>
    <cacheField name="[studiopnl].[industry].[industry]" caption="industry" numFmtId="0" hierarchy="2" level="1">
      <sharedItems count="2">
        <s v="Bollywood"/>
        <s v="Hollywood"/>
      </sharedItems>
    </cacheField>
    <cacheField name="[Measures].[Revenue $ mi]" caption="Revenue $ mi" numFmtId="0" hierarchy="22" level="32767"/>
    <cacheField name="[Measures].[budget $ mi]" caption="budget $ mi" numFmtId="0" hierarchy="23" level="32767"/>
    <cacheField name="[Measures].[P/L $ mi]" caption="P/L $ mi" numFmtId="0" hierarchy="24" level="32767"/>
    <cacheField name="[Measures].[P&amp;L %]" caption="P&amp;L %" numFmtId="0" hierarchy="25" level="32767"/>
    <cacheField name="[Measures].[max target]" caption="max target" numFmtId="0" hierarchy="26" level="32767"/>
    <cacheField name="[Measures].[target $ mln]" caption="target $ mln" numFmtId="0" hierarchy="27" level="32767"/>
    <cacheField name="[Measures].[Actuals - Target $ mln]" caption="Actuals - Target $ mln" numFmtId="0" hierarchy="28" level="32767"/>
    <cacheField name="[Measures].[Actuals - Target %]" caption="Actuals - Target %" numFmtId="0" hierarchy="29" level="32767"/>
  </cacheFields>
  <cacheHierarchies count="33">
    <cacheHierarchy uniqueName="[studiopnl].[movie_id]" caption="movie_id" attribute="1" defaultMemberUniqueName="[studiopnl].[movie_id].[All]" allUniqueName="[studiopnl].[movie_id].[All]" dimensionUniqueName="[studiopnl]" displayFolder="" count="0" memberValueDatatype="20" unbalanced="0"/>
    <cacheHierarchy uniqueName="[studiopnl].[title]" caption="title" attribute="1" defaultMemberUniqueName="[studiopnl].[title].[All]" allUniqueName="[studiopnl].[title].[All]" dimensionUniqueName="[studiopnl]" displayFolder="" count="0" memberValueDatatype="130" unbalanced="0"/>
    <cacheHierarchy uniqueName="[studiopnl].[industry]" caption="industry" attribute="1" defaultMemberUniqueName="[studiopnl].[industry].[All]" allUniqueName="[studiopnl].[industry].[All]" dimensionUniqueName="[studiopnl]" displayFolder="" count="2" memberValueDatatype="130" unbalanced="0">
      <fieldsUsage count="2">
        <fieldUsage x="-1"/>
        <fieldUsage x="1"/>
      </fieldsUsage>
    </cacheHierarchy>
    <cacheHierarchy uniqueName="[studiopnl].[release_year]" caption="release_year" attribute="1" defaultMemberUniqueName="[studiopnl].[release_year].[All]" allUniqueName="[studiopnl].[release_year].[All]" dimensionUniqueName="[studiopnl]" displayFolder="" count="0" memberValueDatatype="20" unbalanced="0"/>
    <cacheHierarchy uniqueName="[studiopnl].[imdb_rating]" caption="imdb_rating" attribute="1" defaultMemberUniqueName="[studiopnl].[imdb_rating].[All]" allUniqueName="[studiopnl].[imdb_rating].[All]" dimensionUniqueName="[studiopnl]" displayFolder="" count="0" memberValueDatatype="5" unbalanced="0"/>
    <cacheHierarchy uniqueName="[studiopnl].[studio]" caption="studio" attribute="1" defaultMemberUniqueName="[studiopnl].[studio].[All]" allUniqueName="[studiopnl].[studio].[All]" dimensionUniqueName="[studiopnl]" displayFolder="" count="2" memberValueDatatype="130" unbalanced="0">
      <fieldsUsage count="2">
        <fieldUsage x="-1"/>
        <fieldUsage x="0"/>
      </fieldsUsage>
    </cacheHierarchy>
    <cacheHierarchy uniqueName="[studiopnl].[language_id]" caption="language_id" attribute="1" defaultMemberUniqueName="[studiopnl].[language_id].[All]" allUniqueName="[studiopnl].[language_id].[All]" dimensionUniqueName="[studiopnl]" displayFolder="" count="0" memberValueDatatype="20" unbalanced="0"/>
    <cacheHierarchy uniqueName="[studiopnl].[budget]" caption="budget" attribute="1" defaultMemberUniqueName="[studiopnl].[budget].[All]" allUniqueName="[studiopnl].[budget].[All]" dimensionUniqueName="[studiopnl]" displayFolder="" count="0" memberValueDatatype="5" unbalanced="0"/>
    <cacheHierarchy uniqueName="[studiopnl].[revenue]" caption="revenue" attribute="1" defaultMemberUniqueName="[studiopnl].[revenue].[All]" allUniqueName="[studiopnl].[revenue].[All]" dimensionUniqueName="[studiopnl]" displayFolder="" count="0" memberValueDatatype="5" unbalanced="0"/>
    <cacheHierarchy uniqueName="[studiopnl].[unit]" caption="unit" attribute="1" defaultMemberUniqueName="[studiopnl].[unit].[All]" allUniqueName="[studiopnl].[unit].[All]" dimensionUniqueName="[studiopnl]" displayFolder="" count="0" memberValueDatatype="130" unbalanced="0"/>
    <cacheHierarchy uniqueName="[studiopnl].[currency]" caption="currency" attribute="1" defaultMemberUniqueName="[studiopnl].[currency].[All]" allUniqueName="[studiopnl].[currency].[All]" dimensionUniqueName="[studiopnl]" displayFolder="" count="0" memberValueDatatype="130" unbalanced="0"/>
    <cacheHierarchy uniqueName="[studiopnl].[unit_factor]" caption="unit_factor" attribute="1" defaultMemberUniqueName="[studiopnl].[unit_factor].[All]" allUniqueName="[studiopnl].[unit_factor].[All]" dimensionUniqueName="[studiopnl]" displayFolder="" count="0" memberValueDatatype="20" unbalanced="0"/>
    <cacheHierarchy uniqueName="[studiopnl].[budget_mln]" caption="budget_mln" attribute="1" defaultMemberUniqueName="[studiopnl].[budget_mln].[All]" allUniqueName="[studiopnl].[budget_mln].[All]" dimensionUniqueName="[studiopnl]" displayFolder="" count="0" memberValueDatatype="5" unbalanced="0"/>
    <cacheHierarchy uniqueName="[studiopnl].[revenue_mln]" caption="revenue_mln" attribute="1" defaultMemberUniqueName="[studiopnl].[revenue_mln].[All]" allUniqueName="[studiopnl].[revenue_mln].[All]" dimensionUniqueName="[studiopnl]" displayFolder="" count="0" memberValueDatatype="5" unbalanced="0"/>
    <cacheHierarchy uniqueName="[studiopnl].[budget INR]" caption="budget INR" attribute="1" defaultMemberUniqueName="[studiopnl].[budget INR].[All]" allUniqueName="[studiopnl].[budget INR].[All]" dimensionUniqueName="[studiopnl]" displayFolder="" count="0" memberValueDatatype="5" unbalanced="0"/>
    <cacheHierarchy uniqueName="[studiopnl].[revenue INR]" caption="revenue INR" attribute="1" defaultMemberUniqueName="[studiopnl].[revenue INR].[All]" allUniqueName="[studiopnl].[revenue INR].[All]" dimensionUniqueName="[studiopnl]" displayFolder="" count="0" memberValueDatatype="20" unbalanced="0"/>
    <cacheHierarchy uniqueName="[studiopnl].[budget USD]" caption="budget USD" attribute="1" defaultMemberUniqueName="[studiopnl].[budget USD].[All]" allUniqueName="[studiopnl].[budget USD].[All]" dimensionUniqueName="[studiopnl]" displayFolder="" count="0" memberValueDatatype="5" unbalanced="0"/>
    <cacheHierarchy uniqueName="[studiopnl].[revenue USD]" caption="revenue USD" attribute="1" defaultMemberUniqueName="[studiopnl].[revenue USD].[All]" allUniqueName="[studiopnl].[revenue USD].[All]" dimensionUniqueName="[studiopnl]" displayFolder="" count="0" memberValueDatatype="5" unbalanced="0"/>
    <cacheHierarchy uniqueName="[studiopnl].[profit USD]" caption="profit USD" attribute="1" defaultMemberUniqueName="[studiopnl].[profit USD].[All]" allUniqueName="[studiopnl].[profit USD].[All]" dimensionUniqueName="[studiopnl]" displayFolder="" count="0" memberValueDatatype="5" unbalanced="0"/>
    <cacheHierarchy uniqueName="[studiopnl].[profit target]" caption="profit target" attribute="1" defaultMemberUniqueName="[studiopnl].[profit target].[All]" allUniqueName="[studiopnl].[profit target].[All]" dimensionUniqueName="[studiopnl]" displayFolder="" count="0" memberValueDatatype="5" unbalanced="0"/>
    <cacheHierarchy uniqueName="[target].[studio]" caption="studio" attribute="1" defaultMemberUniqueName="[target].[studio].[All]" allUniqueName="[target].[studio].[All]" dimensionUniqueName="[target]" displayFolder="" count="0" memberValueDatatype="130" unbalanced="0"/>
    <cacheHierarchy uniqueName="[target].[target]" caption="target" attribute="1" defaultMemberUniqueName="[target].[target].[All]" allUniqueName="[target].[target].[All]" dimensionUniqueName="[target]" displayFolder="" count="0" memberValueDatatype="5" unbalanced="0"/>
    <cacheHierarchy uniqueName="[Measures].[Revenue $ mi]" caption="Revenue $ mi" measure="1" displayFolder="" measureGroup="studiopnl" count="0" oneField="1">
      <fieldsUsage count="1">
        <fieldUsage x="2"/>
      </fieldsUsage>
    </cacheHierarchy>
    <cacheHierarchy uniqueName="[Measures].[budget $ mi]" caption="budget $ mi" measure="1" displayFolder="" measureGroup="studiopnl" count="0" oneField="1">
      <fieldsUsage count="1">
        <fieldUsage x="3"/>
      </fieldsUsage>
    </cacheHierarchy>
    <cacheHierarchy uniqueName="[Measures].[P/L $ mi]" caption="P/L $ mi" measure="1" displayFolder="" measureGroup="studiopnl" count="0" oneField="1">
      <fieldsUsage count="1">
        <fieldUsage x="4"/>
      </fieldsUsage>
    </cacheHierarchy>
    <cacheHierarchy uniqueName="[Measures].[P&amp;L %]" caption="P&amp;L %" measure="1" displayFolder="" measureGroup="studiopnl" count="0" oneField="1">
      <fieldsUsage count="1">
        <fieldUsage x="5"/>
      </fieldsUsage>
    </cacheHierarchy>
    <cacheHierarchy uniqueName="[Measures].[max target]" caption="max target" measure="1" displayFolder="" measureGroup="studiopnl" count="0" oneField="1">
      <fieldsUsage count="1">
        <fieldUsage x="6"/>
      </fieldsUsage>
    </cacheHierarchy>
    <cacheHierarchy uniqueName="[Measures].[target $ mln]" caption="target $ mln" measure="1" displayFolder="" measureGroup="studiopnl" count="0" oneField="1">
      <fieldsUsage count="1">
        <fieldUsage x="7"/>
      </fieldsUsage>
    </cacheHierarchy>
    <cacheHierarchy uniqueName="[Measures].[Actuals - Target $ mln]" caption="Actuals - Target $ mln" measure="1" displayFolder="" measureGroup="studiopnl" count="0" oneField="1">
      <fieldsUsage count="1">
        <fieldUsage x="8"/>
      </fieldsUsage>
    </cacheHierarchy>
    <cacheHierarchy uniqueName="[Measures].[Actuals - Target %]" caption="Actuals - Target %" measure="1" displayFolder="" measureGroup="studiopnl" count="0" oneField="1">
      <fieldsUsage count="1">
        <fieldUsage x="9"/>
      </fieldsUsage>
    </cacheHierarchy>
    <cacheHierarchy uniqueName="[Measures].[__XL_Count studiopnl]" caption="__XL_Count studiopnl" measure="1" displayFolder="" measureGroup="studiopnl" count="0" hidden="1"/>
    <cacheHierarchy uniqueName="[Measures].[__XL_Count target]" caption="__XL_Count target" measure="1" displayFolder="" measureGroup="targe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tudiopnl" uniqueName="[studiopnl]" caption="studiopnl"/>
    <dimension name="target" uniqueName="[target]" caption="target"/>
  </dimensions>
  <measureGroups count="2">
    <measureGroup name="studiopnl" caption="studiopnl"/>
    <measureGroup name="target" caption="target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101"/>
    <x v="0"/>
    <x v="0"/>
    <n v="2022"/>
    <n v="8.4"/>
    <s v="Hombale Films"/>
    <n v="3"/>
    <n v="1"/>
    <n v="12.5"/>
    <s v="Billions"/>
    <s v="INR"/>
    <n v="1000"/>
    <n v="1000"/>
    <n v="12500"/>
    <n v="1000"/>
    <n v="12500"/>
    <n v="12.5"/>
    <n v="156.25"/>
    <n v="143.75"/>
  </r>
  <r>
    <s v="102"/>
    <x v="1"/>
    <x v="1"/>
    <n v="2022"/>
    <n v="7"/>
    <s v="Marvel Studios"/>
    <n v="5"/>
    <n v="200"/>
    <n v="954.8"/>
    <s v="Millions"/>
    <s v="USD"/>
    <n v="1"/>
    <n v="200"/>
    <n v="954.8"/>
    <n v="16000"/>
    <n v="76384"/>
    <n v="200"/>
    <n v="954.8"/>
    <n v="754.8"/>
  </r>
  <r>
    <s v="103"/>
    <x v="2"/>
    <x v="1"/>
    <n v="2013"/>
    <n v="6.8"/>
    <s v="Marvel Studios"/>
    <n v="5"/>
    <n v="165"/>
    <n v="644.79999999999995"/>
    <s v="Millions"/>
    <s v="USD"/>
    <n v="1"/>
    <n v="165"/>
    <n v="644.79999999999995"/>
    <n v="13200"/>
    <n v="51584"/>
    <n v="165"/>
    <n v="644.79999999999995"/>
    <n v="479.8"/>
  </r>
  <r>
    <s v="104"/>
    <x v="3"/>
    <x v="1"/>
    <n v="2017"/>
    <n v="7.9"/>
    <s v="Marvel Studios"/>
    <n v="5"/>
    <n v="180"/>
    <n v="854"/>
    <s v="Millions"/>
    <s v="USD"/>
    <n v="1"/>
    <n v="180"/>
    <n v="854"/>
    <n v="14400"/>
    <n v="68320"/>
    <n v="180"/>
    <n v="854"/>
    <n v="674"/>
  </r>
  <r>
    <s v="105"/>
    <x v="4"/>
    <x v="1"/>
    <n v="2022"/>
    <n v="6.8"/>
    <s v="Marvel Studios"/>
    <n v="5"/>
    <n v="250"/>
    <n v="670"/>
    <s v="Millions"/>
    <s v="USD"/>
    <n v="1"/>
    <n v="250"/>
    <n v="670"/>
    <n v="20000"/>
    <n v="53600"/>
    <n v="250"/>
    <n v="670"/>
    <n v="420"/>
  </r>
  <r>
    <s v="107"/>
    <x v="5"/>
    <x v="0"/>
    <n v="1995"/>
    <n v="8"/>
    <s v="Yash Raj Films"/>
    <n v="1"/>
    <n v="400"/>
    <n v="2000"/>
    <s v="Millions"/>
    <s v="INR"/>
    <n v="1"/>
    <n v="400"/>
    <n v="2000"/>
    <n v="400"/>
    <n v="2000"/>
    <n v="5"/>
    <n v="25"/>
    <n v="20"/>
  </r>
  <r>
    <s v="108"/>
    <x v="6"/>
    <x v="0"/>
    <n v="2009"/>
    <n v="8.4"/>
    <s v="Vinod Chopra Films"/>
    <n v="1"/>
    <n v="550"/>
    <n v="4000"/>
    <s v="Millions"/>
    <s v="INR"/>
    <n v="1"/>
    <n v="550"/>
    <n v="4000"/>
    <n v="550"/>
    <n v="4000"/>
    <n v="6.875"/>
    <n v="50"/>
    <n v="43.125"/>
  </r>
  <r>
    <s v="109"/>
    <x v="7"/>
    <x v="0"/>
    <n v="2001"/>
    <n v="7.4"/>
    <s v="Dharma Productions"/>
    <n v="1"/>
    <n v="390"/>
    <n v="1360"/>
    <s v="Millions"/>
    <s v="INR"/>
    <n v="1"/>
    <n v="390"/>
    <n v="1360"/>
    <n v="390"/>
    <n v="1360"/>
    <n v="4.875"/>
    <n v="17"/>
    <n v="12.125"/>
  </r>
  <r>
    <s v="110"/>
    <x v="8"/>
    <x v="0"/>
    <n v="2015"/>
    <n v="7.2"/>
    <s v="Not Available"/>
    <n v="1"/>
    <n v="1.4"/>
    <n v="3.5"/>
    <s v="Billions"/>
    <s v="INR"/>
    <n v="1000"/>
    <n v="1400"/>
    <n v="3500"/>
    <n v="1400"/>
    <n v="3500"/>
    <n v="17.5"/>
    <n v="43.75"/>
    <n v="26.25"/>
  </r>
  <r>
    <s v="111"/>
    <x v="9"/>
    <x v="1"/>
    <n v="1994"/>
    <n v="9.3000000000000007"/>
    <s v="Castle Rock Entertainment"/>
    <n v="5"/>
    <n v="25"/>
    <n v="73.3"/>
    <s v="Millions"/>
    <s v="USD"/>
    <n v="1"/>
    <n v="25"/>
    <n v="73.3"/>
    <n v="2000"/>
    <n v="5864"/>
    <n v="25"/>
    <n v="73.3"/>
    <n v="48.3"/>
  </r>
  <r>
    <s v="113"/>
    <x v="10"/>
    <x v="1"/>
    <n v="2014"/>
    <n v="8.6"/>
    <s v="Warner Bros. Pictures"/>
    <n v="5"/>
    <n v="165"/>
    <n v="701.8"/>
    <s v="Millions"/>
    <s v="USD"/>
    <n v="1"/>
    <n v="165"/>
    <n v="701.8"/>
    <n v="13200"/>
    <n v="56144"/>
    <n v="165"/>
    <n v="701.8"/>
    <n v="536.79999999999995"/>
  </r>
  <r>
    <s v="115"/>
    <x v="11"/>
    <x v="1"/>
    <n v="2006"/>
    <n v="8"/>
    <s v="Columbia Pictures"/>
    <n v="5"/>
    <n v="55"/>
    <n v="307.10000000000002"/>
    <s v="Millions"/>
    <s v="USD"/>
    <n v="1"/>
    <n v="55"/>
    <n v="307.10000000000002"/>
    <n v="4400"/>
    <n v="24568"/>
    <n v="55"/>
    <n v="307.10000000000002"/>
    <n v="252.1"/>
  </r>
  <r>
    <s v="116"/>
    <x v="12"/>
    <x v="1"/>
    <n v="2000"/>
    <n v="8.5"/>
    <s v="Universal Pictures"/>
    <n v="5"/>
    <n v="103"/>
    <n v="460.5"/>
    <s v="Millions"/>
    <s v="USD"/>
    <n v="1"/>
    <n v="103"/>
    <n v="460.5"/>
    <n v="8240"/>
    <n v="36840"/>
    <n v="103"/>
    <n v="460.5"/>
    <n v="357.5"/>
  </r>
  <r>
    <s v="117"/>
    <x v="13"/>
    <x v="1"/>
    <n v="1997"/>
    <n v="7.9"/>
    <s v="Paramount Pictures"/>
    <n v="5"/>
    <n v="200"/>
    <n v="2202"/>
    <s v="Millions"/>
    <s v="USD"/>
    <n v="1"/>
    <n v="200"/>
    <n v="2202"/>
    <n v="16000"/>
    <n v="176160"/>
    <n v="200"/>
    <n v="2202"/>
    <n v="2002"/>
  </r>
  <r>
    <s v="118"/>
    <x v="14"/>
    <x v="1"/>
    <n v="1946"/>
    <n v="8.6"/>
    <s v="Liberty Films"/>
    <n v="5"/>
    <n v="3.18"/>
    <n v="3.3"/>
    <s v="Millions"/>
    <s v="USD"/>
    <n v="1"/>
    <n v="3.18"/>
    <n v="3.3"/>
    <n v="254.4"/>
    <n v="264"/>
    <n v="3.18"/>
    <n v="3.3"/>
    <n v="0.12"/>
  </r>
  <r>
    <s v="119"/>
    <x v="15"/>
    <x v="1"/>
    <n v="2009"/>
    <n v="7.8"/>
    <s v="20th Century Fox"/>
    <n v="5"/>
    <n v="237"/>
    <n v="2847"/>
    <s v="Millions"/>
    <s v="USD"/>
    <n v="1"/>
    <n v="237"/>
    <n v="2847"/>
    <n v="18960"/>
    <n v="227760"/>
    <n v="237"/>
    <n v="2847"/>
    <n v="2610"/>
  </r>
  <r>
    <s v="120"/>
    <x v="16"/>
    <x v="1"/>
    <n v="1972"/>
    <n v="9.1999999999999993"/>
    <s v="Paramount Pictures"/>
    <n v="5"/>
    <n v="7.2"/>
    <n v="291"/>
    <s v="Millions"/>
    <s v="USD"/>
    <n v="1"/>
    <n v="7.2"/>
    <n v="291"/>
    <n v="576"/>
    <n v="23280"/>
    <n v="7.2"/>
    <n v="291"/>
    <n v="283.8"/>
  </r>
  <r>
    <s v="121"/>
    <x v="17"/>
    <x v="1"/>
    <n v="2008"/>
    <n v="9"/>
    <s v="Syncopy"/>
    <n v="5"/>
    <n v="185"/>
    <n v="1006"/>
    <s v="Millions"/>
    <s v="USD"/>
    <n v="1"/>
    <n v="185"/>
    <n v="1006"/>
    <n v="14800"/>
    <n v="80480"/>
    <n v="185"/>
    <n v="1006"/>
    <n v="821"/>
  </r>
  <r>
    <s v="122"/>
    <x v="18"/>
    <x v="1"/>
    <n v="1993"/>
    <n v="9"/>
    <s v="Universal Pictures"/>
    <n v="5"/>
    <n v="22"/>
    <n v="322.2"/>
    <s v="Millions"/>
    <s v="USD"/>
    <n v="1"/>
    <n v="22"/>
    <n v="322.2"/>
    <n v="1760"/>
    <n v="25776"/>
    <n v="22"/>
    <n v="322.2"/>
    <n v="300.2"/>
  </r>
  <r>
    <s v="123"/>
    <x v="19"/>
    <x v="1"/>
    <n v="1993"/>
    <n v="8.1999999999999993"/>
    <s v="Universal Pictures"/>
    <n v="5"/>
    <n v="63"/>
    <n v="1046"/>
    <s v="Millions"/>
    <s v="USD"/>
    <n v="1"/>
    <n v="63"/>
    <n v="1046"/>
    <n v="5040"/>
    <n v="83680"/>
    <n v="63"/>
    <n v="1046"/>
    <n v="983"/>
  </r>
  <r>
    <s v="124"/>
    <x v="20"/>
    <x v="1"/>
    <n v="2019"/>
    <n v="8.5"/>
    <s v="Not Available"/>
    <n v="5"/>
    <n v="15.5"/>
    <n v="263.10000000000002"/>
    <s v="Millions"/>
    <s v="USD"/>
    <n v="1"/>
    <n v="15.5"/>
    <n v="263.10000000000002"/>
    <n v="1240"/>
    <n v="21048"/>
    <n v="15.5"/>
    <n v="263.10000000000002"/>
    <n v="247.6"/>
  </r>
  <r>
    <s v="125"/>
    <x v="21"/>
    <x v="1"/>
    <n v="2019"/>
    <n v="8.4"/>
    <s v="Marvel Studios"/>
    <n v="5"/>
    <n v="400"/>
    <n v="2798"/>
    <s v="Millions"/>
    <s v="USD"/>
    <n v="1"/>
    <n v="400"/>
    <n v="2798"/>
    <n v="32000"/>
    <n v="223840"/>
    <n v="400"/>
    <n v="2798"/>
    <n v="2398"/>
  </r>
  <r>
    <s v="126"/>
    <x v="22"/>
    <x v="1"/>
    <n v="2018"/>
    <n v="8.4"/>
    <s v="Marvel Studios"/>
    <n v="5"/>
    <n v="400"/>
    <n v="2048"/>
    <s v="Millions"/>
    <s v="USD"/>
    <n v="1"/>
    <n v="400"/>
    <n v="2048"/>
    <n v="32000"/>
    <n v="163840"/>
    <n v="400"/>
    <n v="2048"/>
    <n v="1648"/>
  </r>
  <r>
    <s v="127"/>
    <x v="23"/>
    <x v="0"/>
    <n v="1955"/>
    <n v="8.3000000000000007"/>
    <s v="Government of West Bengal"/>
    <n v="7"/>
    <n v="70"/>
    <n v="100"/>
    <s v="Millions"/>
    <s v="INR"/>
    <n v="1"/>
    <n v="70"/>
    <n v="100"/>
    <n v="70"/>
    <n v="100"/>
    <n v="0.875"/>
    <n v="1.25"/>
    <n v="0.375"/>
  </r>
  <r>
    <s v="128"/>
    <x v="24"/>
    <x v="0"/>
    <n v="2007"/>
    <n v="8.3000000000000007"/>
    <s v="Not Available"/>
    <n v="1"/>
    <n v="120"/>
    <n v="1350"/>
    <s v="Millions"/>
    <s v="INR"/>
    <n v="1"/>
    <n v="120"/>
    <n v="1350"/>
    <n v="120"/>
    <n v="1350"/>
    <n v="1.5"/>
    <n v="16.875"/>
    <n v="15.375"/>
  </r>
  <r>
    <s v="129"/>
    <x v="25"/>
    <x v="0"/>
    <n v="2003"/>
    <n v="8.1"/>
    <s v="Vinod Chopra Productions"/>
    <n v="1"/>
    <n v="100"/>
    <n v="410"/>
    <s v="Millions"/>
    <s v="INR"/>
    <n v="1"/>
    <n v="100"/>
    <n v="410"/>
    <n v="100"/>
    <n v="410"/>
    <n v="1.25"/>
    <n v="5.125"/>
    <n v="3.875"/>
  </r>
  <r>
    <s v="130"/>
    <x v="26"/>
    <x v="0"/>
    <n v="2014"/>
    <n v="8.1"/>
    <s v="Vinod Chopra Films"/>
    <n v="1"/>
    <n v="850"/>
    <n v="8540"/>
    <s v="Millions"/>
    <s v="INR"/>
    <n v="1"/>
    <n v="850"/>
    <n v="8540"/>
    <n v="850"/>
    <n v="8540"/>
    <n v="10.625"/>
    <n v="106.75"/>
    <n v="96.125"/>
  </r>
  <r>
    <s v="131"/>
    <x v="27"/>
    <x v="0"/>
    <n v="2018"/>
    <m/>
    <s v="Vinod Chopra Films"/>
    <n v="1"/>
    <n v="1"/>
    <n v="5.9"/>
    <s v="Billions"/>
    <s v="INR"/>
    <n v="1000"/>
    <n v="1000"/>
    <n v="5900"/>
    <n v="1000"/>
    <n v="5900"/>
    <n v="12.5"/>
    <n v="73.75"/>
    <n v="61.25"/>
  </r>
  <r>
    <s v="132"/>
    <x v="28"/>
    <x v="0"/>
    <n v="2021"/>
    <n v="7.6"/>
    <s v="Mythri Movie Makers"/>
    <n v="2"/>
    <n v="2"/>
    <n v="3.6"/>
    <s v="Billions"/>
    <s v="INR"/>
    <n v="1000"/>
    <n v="2000"/>
    <n v="3600"/>
    <n v="2000"/>
    <n v="3600"/>
    <n v="25"/>
    <n v="45"/>
    <n v="20"/>
  </r>
  <r>
    <s v="133"/>
    <x v="29"/>
    <x v="0"/>
    <n v="2022"/>
    <n v="8"/>
    <s v="DVV Entertainment"/>
    <n v="2"/>
    <n v="5.5"/>
    <n v="12"/>
    <s v="Billions"/>
    <s v="INR"/>
    <n v="1000"/>
    <n v="5500"/>
    <n v="12000"/>
    <n v="5500"/>
    <n v="12000"/>
    <n v="68.75"/>
    <n v="150"/>
    <n v="81.25"/>
  </r>
  <r>
    <s v="134"/>
    <x v="30"/>
    <x v="0"/>
    <n v="2015"/>
    <n v="8"/>
    <s v="Arka Media Works"/>
    <n v="2"/>
    <n v="1.8"/>
    <n v="6.5"/>
    <s v="Billions"/>
    <s v="INR"/>
    <n v="1000"/>
    <n v="1800"/>
    <n v="6500"/>
    <n v="1800"/>
    <n v="6500"/>
    <n v="22.5"/>
    <n v="81.25"/>
    <n v="58.75"/>
  </r>
  <r>
    <s v="135"/>
    <x v="31"/>
    <x v="0"/>
    <n v="2022"/>
    <n v="8.3000000000000007"/>
    <s v="Zee Studios"/>
    <n v="1"/>
    <n v="250"/>
    <n v="3409"/>
    <s v="Millions"/>
    <s v="INR"/>
    <n v="1"/>
    <n v="250"/>
    <n v="3409"/>
    <n v="250"/>
    <n v="3409"/>
    <n v="3.125"/>
    <n v="42.612499999999997"/>
    <n v="39.487499999999997"/>
  </r>
  <r>
    <s v="136"/>
    <x v="32"/>
    <x v="0"/>
    <n v="2015"/>
    <n v="8.1"/>
    <s v="Salman Khan Films"/>
    <n v="1"/>
    <n v="900"/>
    <n v="11690"/>
    <s v="Millions"/>
    <s v="INR"/>
    <n v="1"/>
    <n v="900"/>
    <n v="11690"/>
    <n v="900"/>
    <n v="11690"/>
    <n v="11.25"/>
    <n v="146.125"/>
    <n v="134.875"/>
  </r>
  <r>
    <s v="137"/>
    <x v="33"/>
    <x v="1"/>
    <n v="2011"/>
    <n v="6.9"/>
    <s v="Marvel Studios"/>
    <n v="5"/>
    <n v="216.7"/>
    <n v="370.6"/>
    <s v="Millions"/>
    <s v="USD"/>
    <n v="1"/>
    <n v="216.7"/>
    <n v="370.6"/>
    <n v="17336"/>
    <n v="29648"/>
    <n v="216.7"/>
    <n v="370.6"/>
    <n v="153.9"/>
  </r>
  <r>
    <s v="138"/>
    <x v="34"/>
    <x v="1"/>
    <n v="2014"/>
    <n v="7.8"/>
    <s v="Marvel Studios"/>
    <n v="5"/>
    <n v="177"/>
    <n v="714.4"/>
    <s v="Millions"/>
    <s v="USD"/>
    <n v="1"/>
    <n v="177"/>
    <n v="714.4"/>
    <n v="14160"/>
    <n v="57152"/>
    <n v="177"/>
    <n v="714.4"/>
    <n v="537.4"/>
  </r>
  <r>
    <s v="139"/>
    <x v="35"/>
    <x v="0"/>
    <n v="2018"/>
    <n v="1.9"/>
    <s v="Salman Khan Films"/>
    <n v="1"/>
    <n v="1.8"/>
    <n v="3.1"/>
    <s v="Billions"/>
    <s v="INR"/>
    <n v="1000"/>
    <n v="1800"/>
    <n v="3100"/>
    <n v="1800"/>
    <n v="3100"/>
    <n v="22.5"/>
    <n v="38.75"/>
    <n v="16.25"/>
  </r>
  <r>
    <s v="140"/>
    <x v="36"/>
    <x v="0"/>
    <n v="2021"/>
    <n v="8.4"/>
    <s v="Dharma Productions"/>
    <n v="1"/>
    <n v="500"/>
    <n v="950"/>
    <s v="Millions"/>
    <s v="INR"/>
    <n v="1"/>
    <n v="500"/>
    <n v="950"/>
    <n v="500"/>
    <n v="950"/>
    <n v="6.25"/>
    <n v="11.875"/>
    <n v="5.625"/>
  </r>
  <r>
    <s v="106"/>
    <x v="37"/>
    <x v="0"/>
    <n v="1975"/>
    <n v="8.1"/>
    <s v="United Producers"/>
    <n v="1"/>
    <m/>
    <m/>
    <m/>
    <m/>
    <n v="1"/>
    <m/>
    <m/>
    <m/>
    <m/>
    <m/>
    <m/>
    <m/>
  </r>
  <r>
    <s v="112"/>
    <x v="38"/>
    <x v="1"/>
    <n v="2010"/>
    <n v="8.8000000000000007"/>
    <s v="Warner Bros. Pictures"/>
    <n v="5"/>
    <m/>
    <m/>
    <m/>
    <m/>
    <n v="1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39D7C9-FD85-7941-A13B-1E417C81BF9F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45" firstHeaderRow="0" firstDataRow="1" firstDataCol="1"/>
  <pivotFields count="19">
    <pivotField showAll="0"/>
    <pivotField axis="axisRow" showAll="0" sortType="descending">
      <items count="40">
        <item x="13"/>
        <item x="2"/>
        <item x="3"/>
        <item x="4"/>
        <item x="11"/>
        <item x="31"/>
        <item x="16"/>
        <item x="17"/>
        <item x="24"/>
        <item x="37"/>
        <item x="36"/>
        <item x="18"/>
        <item x="27"/>
        <item x="29"/>
        <item x="35"/>
        <item x="28"/>
        <item x="26"/>
        <item x="23"/>
        <item x="20"/>
        <item x="25"/>
        <item x="7"/>
        <item x="0"/>
        <item x="19"/>
        <item x="14"/>
        <item x="10"/>
        <item x="38"/>
        <item x="12"/>
        <item x="1"/>
        <item x="5"/>
        <item x="34"/>
        <item x="33"/>
        <item x="32"/>
        <item x="8"/>
        <item x="30"/>
        <item x="22"/>
        <item x="21"/>
        <item x="15"/>
        <item x="9"/>
        <item x="6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2">
    <field x="2"/>
    <field x="1"/>
  </rowFields>
  <rowItems count="42">
    <i>
      <x v="1"/>
    </i>
    <i r="1">
      <x v="36"/>
    </i>
    <i r="1">
      <x v="35"/>
    </i>
    <i r="1">
      <x/>
    </i>
    <i r="1">
      <x v="34"/>
    </i>
    <i r="1">
      <x v="22"/>
    </i>
    <i r="1">
      <x v="7"/>
    </i>
    <i r="1">
      <x v="27"/>
    </i>
    <i r="1">
      <x v="2"/>
    </i>
    <i r="1">
      <x v="29"/>
    </i>
    <i r="1">
      <x v="24"/>
    </i>
    <i r="1">
      <x v="1"/>
    </i>
    <i r="1">
      <x v="3"/>
    </i>
    <i r="1">
      <x v="26"/>
    </i>
    <i r="1">
      <x v="11"/>
    </i>
    <i r="1">
      <x v="6"/>
    </i>
    <i r="1">
      <x v="4"/>
    </i>
    <i r="1">
      <x v="18"/>
    </i>
    <i r="1">
      <x v="30"/>
    </i>
    <i r="1">
      <x v="37"/>
    </i>
    <i r="1">
      <x v="23"/>
    </i>
    <i r="1">
      <x v="25"/>
    </i>
    <i>
      <x/>
    </i>
    <i r="1">
      <x v="21"/>
    </i>
    <i r="1">
      <x v="31"/>
    </i>
    <i r="1">
      <x v="16"/>
    </i>
    <i r="1">
      <x v="13"/>
    </i>
    <i r="1">
      <x v="12"/>
    </i>
    <i r="1">
      <x v="33"/>
    </i>
    <i r="1">
      <x v="38"/>
    </i>
    <i r="1">
      <x v="5"/>
    </i>
    <i r="1">
      <x v="32"/>
    </i>
    <i r="1">
      <x v="28"/>
    </i>
    <i r="1">
      <x v="15"/>
    </i>
    <i r="1">
      <x v="14"/>
    </i>
    <i r="1">
      <x v="8"/>
    </i>
    <i r="1">
      <x v="20"/>
    </i>
    <i r="1">
      <x v="10"/>
    </i>
    <i r="1">
      <x v="19"/>
    </i>
    <i r="1">
      <x v="17"/>
    </i>
    <i r="1"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Budget USD mln" fld="16" baseField="0" baseItem="0" numFmtId="165"/>
    <dataField name="Revenue USD mln" fld="17" baseField="0" baseItem="0" numFmtId="165"/>
    <dataField name="Profit USD mln" fld="18" baseField="0" baseItem="0" numFmtId="165"/>
    <dataField name="Imdb rating" fld="4" subtotal="average" baseField="0" baseItem="0" numFmtId="2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0215B3-4F44-4194-8DCB-E719FB86CA9D}" name="PivotTable1" cacheId="16" applyNumberFormats="0" applyBorderFormats="0" applyFontFormats="0" applyPatternFormats="0" applyAlignmentFormats="0" applyWidthHeightFormats="1" dataCaption="Values" tag="e94d7182-69b8-4cab-a859-26bdb7da3fa8" updatedVersion="8" minRefreshableVersion="3" useAutoFormatting="1" itemPrintTitles="1" createdVersion="8" indent="0" outline="1" outlineData="1" multipleFieldFilters="0" rowHeaderCaption="">
  <location ref="A3:I25" firstHeaderRow="0" firstDataRow="1" firstDataCol="1"/>
  <pivotFields count="10">
    <pivotField axis="axisRow" allDrilled="1" showAll="0" dataSourceSort="1" defaultAttributeDrillState="1">
      <items count="20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howAll="0"/>
    <pivotField dataField="1" showAll="0"/>
    <pivotField dataField="1" showAll="0"/>
  </pivotFields>
  <rowFields count="2">
    <field x="1"/>
    <field x="0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2" subtotal="count" baseField="0" baseItem="0"/>
    <dataField fld="3" subtotal="count" baseField="1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 numFmtId="165"/>
    <dataField fld="9" subtotal="count" baseField="0" baseItem="0"/>
  </dataFields>
  <formats count="2">
    <format dxfId="14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3">
      <pivotArea dataOnly="0" outline="0" fieldPosition="0">
        <references count="1">
          <reference field="4294967294" count="1">
            <x v="6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Hierarchies count="33">
    <pivotHierarchy dragToData="1"/>
    <pivotHierarchy dragToData="1"/>
    <pivotHierarchy dragToData="1"/>
    <pivotHierarchy dragToData="1"/>
    <pivotHierarchy dragToData="1"/>
    <pivotHierarchy dragToData="1">
      <members count="21" level="1">
        <member name=""/>
        <member name=""/>
        <member name=""/>
        <member name=""/>
        <member name=""/>
        <member name=""/>
        <member name=""/>
        <member name=""/>
        <member name="[studiopnl].[studio].&amp;[United Producers]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9" showRowHeaders="1" showColHeaders="1" showRowStripes="0" showColStripes="0" showLastColumn="1"/>
  <rowHierarchiesUsage count="2">
    <rowHierarchyUsage hierarchyUsage="2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tudiopnl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BC69A4B-3638-DF4C-B634-D93D445FEC0B}" autoFormatId="16" applyNumberFormats="0" applyBorderFormats="0" applyFontFormats="0" applyPatternFormats="0" applyAlignmentFormats="0" applyWidthHeightFormats="0">
  <queryTableRefresh nextId="20">
    <queryTableFields count="19">
      <queryTableField id="1" name="movie_id" tableColumnId="1"/>
      <queryTableField id="2" name="title" tableColumnId="2"/>
      <queryTableField id="3" name="industry" tableColumnId="3"/>
      <queryTableField id="4" name="release_year" tableColumnId="4"/>
      <queryTableField id="5" name="imdb_rating" tableColumnId="5"/>
      <queryTableField id="6" name="studio" tableColumnId="6"/>
      <queryTableField id="7" name="language_id" tableColumnId="7"/>
      <queryTableField id="8" name="budget" tableColumnId="8"/>
      <queryTableField id="9" name="revenue" tableColumnId="9"/>
      <queryTableField id="10" name="unit" tableColumnId="10"/>
      <queryTableField id="11" name="currency" tableColumnId="11"/>
      <queryTableField id="12" name="unit_factor" tableColumnId="12"/>
      <queryTableField id="13" name="budget_mln" tableColumnId="13"/>
      <queryTableField id="14" name="revenue_mln" tableColumnId="14"/>
      <queryTableField id="15" name="budget INR" tableColumnId="15"/>
      <queryTableField id="16" name="revenue INR" tableColumnId="16"/>
      <queryTableField id="17" name="budget USD" tableColumnId="17"/>
      <queryTableField id="18" name="revenue USD" tableColumnId="18"/>
      <queryTableField id="19" name="profit USD" tableColumnId="1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E2DA7A-7611-42BA-9165-C8D005DBA6DB}" name="target" displayName="target" ref="A1:B21" totalsRowShown="0">
  <autoFilter ref="A1:B21" xr:uid="{C8E2DA7A-7611-42BA-9165-C8D005DBA6DB}"/>
  <tableColumns count="2">
    <tableColumn id="1" xr3:uid="{D1C35A98-897D-40AF-B3E3-08398D8544B2}" name="studio"/>
    <tableColumn id="2" xr3:uid="{262B9FAA-71BB-4D7A-B162-1ED082790E22}" name="target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9C27EF-EE5F-E94C-9C57-6F04BCF47721}" name="MovieFinancials" displayName="MovieFinancials" ref="A1:S39" tableType="queryTable" totalsRowShown="0">
  <autoFilter ref="A1:S39" xr:uid="{F19C27EF-EE5F-E94C-9C57-6F04BCF47721}"/>
  <tableColumns count="19">
    <tableColumn id="1" xr3:uid="{14FDC0C4-7232-6F4A-9719-12732A940A0F}" uniqueName="1" name="movie_id" queryTableFieldId="1" dataDxfId="11"/>
    <tableColumn id="2" xr3:uid="{53F40335-2545-DE40-BA73-F279C18AF737}" uniqueName="2" name="title" queryTableFieldId="2" dataDxfId="10"/>
    <tableColumn id="3" xr3:uid="{10218CEC-F405-1642-AFC7-417E17EEBCCF}" uniqueName="3" name="industry" queryTableFieldId="3"/>
    <tableColumn id="4" xr3:uid="{2C50A53B-F1AB-4C4E-BAE2-2D1827B19E34}" uniqueName="4" name="release_year" queryTableFieldId="4"/>
    <tableColumn id="5" xr3:uid="{492E9A19-28F3-A248-BF7B-16467E910AFB}" uniqueName="5" name="imdb_rating" queryTableFieldId="5" dataDxfId="9"/>
    <tableColumn id="6" xr3:uid="{1C2892D7-A18E-7649-8214-1FF27A3D52D9}" uniqueName="6" name="studio" queryTableFieldId="6" dataDxfId="8"/>
    <tableColumn id="7" xr3:uid="{04DFC9F2-7D74-B649-B114-06CD70ED97AB}" uniqueName="7" name="language_id" queryTableFieldId="7"/>
    <tableColumn id="8" xr3:uid="{C97A4C67-6282-4A4F-B309-A2EFB3EFB669}" uniqueName="8" name="budget" queryTableFieldId="8"/>
    <tableColumn id="9" xr3:uid="{CA846755-7626-4B4E-8741-C3110D136B48}" uniqueName="9" name="revenue" queryTableFieldId="9"/>
    <tableColumn id="10" xr3:uid="{1B4C1D62-4417-E147-A43C-8C518F93C39C}" uniqueName="10" name="unit" queryTableFieldId="10"/>
    <tableColumn id="11" xr3:uid="{7C5DA801-678C-3642-BD0B-B24B48DA4A48}" uniqueName="11" name="currency" queryTableFieldId="11"/>
    <tableColumn id="12" xr3:uid="{956BA836-C8EB-D042-A06B-8972A03FB710}" uniqueName="12" name="unit_factor" queryTableFieldId="12"/>
    <tableColumn id="13" xr3:uid="{8A811070-571C-DE4A-862A-DDCECC26DF37}" uniqueName="13" name="budget_mln" queryTableFieldId="13"/>
    <tableColumn id="14" xr3:uid="{88AA769E-148A-694A-98DE-C827C7DE0829}" uniqueName="14" name="revenue_mln" queryTableFieldId="14"/>
    <tableColumn id="15" xr3:uid="{EEF5141F-DDE4-B148-9FB1-0FC1A781F596}" uniqueName="15" name="budget INR" queryTableFieldId="15"/>
    <tableColumn id="16" xr3:uid="{858DDBF2-49C4-3342-B09F-C2C2C759E059}" uniqueName="16" name="revenue INR" queryTableFieldId="16"/>
    <tableColumn id="17" xr3:uid="{493C5C4E-3844-C74F-8DE5-9188A7C33C09}" uniqueName="17" name="budget USD" queryTableFieldId="17" dataDxfId="7"/>
    <tableColumn id="18" xr3:uid="{AC108415-CAEC-974F-82F1-E23EB8970810}" uniqueName="18" name="revenue USD" queryTableFieldId="18" dataDxfId="6"/>
    <tableColumn id="19" xr3:uid="{C542CFA8-6A6E-C449-ADBE-42FF22544324}" uniqueName="19" name="profit USD" queryTableField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7FE39D-5614-4A7F-89B7-C167ABC0A251}" name="Movies" displayName="Movies" ref="A1:G41" totalsRowShown="0" headerRowDxfId="5">
  <autoFilter ref="A1:G41" xr:uid="{6A7FE39D-5614-4A7F-89B7-C167ABC0A251}"/>
  <tableColumns count="7">
    <tableColumn id="1" xr3:uid="{5E453F0D-B27C-433C-BF11-BA3FE1A6822E}" name="movie_id_title"/>
    <tableColumn id="3" xr3:uid="{A73DC6E7-A5B7-4D92-B13E-587CFA363BFA}" name="industry"/>
    <tableColumn id="4" xr3:uid="{DFE5EBBB-5DEF-4AB9-A5C9-802FC0AD1B5B}" name="release_year"/>
    <tableColumn id="5" xr3:uid="{D500D219-E618-40DD-B4AA-E390F996EF1E}" name="imdb_rating"/>
    <tableColumn id="6" xr3:uid="{D06057E5-53B4-474F-BA7C-D7BC731BE502}" name="studio"/>
    <tableColumn id="7" xr3:uid="{70C8CD53-1FFB-4649-B796-093E6560F8C9}" name="language_id"/>
    <tableColumn id="2" xr3:uid="{C0CD5860-C1A1-4B0F-957D-6E2C229B950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EC907F-917F-4689-8EAB-F7CEF660B9E4}" name="Financials" displayName="Financials" ref="A1:E41" totalsRowShown="0" headerRowDxfId="4">
  <autoFilter ref="A1:E41" xr:uid="{DCEC907F-917F-4689-8EAB-F7CEF660B9E4}"/>
  <tableColumns count="5">
    <tableColumn id="1" xr3:uid="{D1A9B0F4-FC15-4DC9-80C7-7EBF56996521}" name="movie_id"/>
    <tableColumn id="2" xr3:uid="{7A82C7E9-BE81-4BFD-9DE1-91C9F01BD827}" name="budget"/>
    <tableColumn id="3" xr3:uid="{965E2B99-FA87-4277-B9CC-A0E3C19DE420}" name="revenue"/>
    <tableColumn id="4" xr3:uid="{96087170-9E57-4229-AC50-74EEA71833C0}" name="unit"/>
    <tableColumn id="5" xr3:uid="{6495EEB2-7844-4F05-9057-6857978F8760}" name="currenc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E9627B-7F83-4E00-A9BD-B2B85ADBBA2F}" name="actors" displayName="actors" ref="A1:C68" totalsRowShown="0" headerRowDxfId="3">
  <autoFilter ref="A1:C68" xr:uid="{49E9627B-7F83-4E00-A9BD-B2B85ADBBA2F}"/>
  <tableColumns count="3">
    <tableColumn id="1" xr3:uid="{17C41506-36D4-4294-9829-5A0C52DE3455}" name="actor_id"/>
    <tableColumn id="2" xr3:uid="{2876D79C-DCCC-46A7-9A7C-E9583B5ED0CC}" name="name"/>
    <tableColumn id="3" xr3:uid="{FAFDAD74-E8EF-4409-98E8-FA816AA45652}" name="birth_yea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F3DFB9-F7AC-4F5D-9639-8E5EFD749C75}" name="movieactor" displayName="movieactor" ref="A1:B86" totalsRowShown="0" headerRowDxfId="2">
  <autoFilter ref="A1:B86" xr:uid="{69F3DFB9-F7AC-4F5D-9639-8E5EFD749C75}"/>
  <tableColumns count="2">
    <tableColumn id="1" xr3:uid="{726AA249-607F-4CEE-9C80-419BD67B7D42}" name="movie_id"/>
    <tableColumn id="2" xr3:uid="{A11280A0-C25A-482F-B3E4-13975B2F5282}" name="actor_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058435-0457-4C21-A779-EC166EB5551A}" name="languages" displayName="languages" ref="A1:B9" totalsRowShown="0" headerRowDxfId="1">
  <autoFilter ref="A1:B9" xr:uid="{1C058435-0457-4C21-A779-EC166EB5551A}"/>
  <tableColumns count="2">
    <tableColumn id="1" xr3:uid="{E256DBAD-6FC6-4A32-8A1D-C74A5F599F74}" name="language_id"/>
    <tableColumn id="2" xr3:uid="{583CF6B9-244C-4D0F-A271-B5A1C600F17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F05E5-B6ED-2342-A51D-DF38CAB6BE27}">
  <sheetPr codeName="Sheet1"/>
  <dimension ref="A1:E45"/>
  <sheetViews>
    <sheetView showGridLines="0" zoomScaleNormal="163" workbookViewId="0">
      <selection activeCell="A12" sqref="A12"/>
    </sheetView>
  </sheetViews>
  <sheetFormatPr defaultColWidth="11.42578125" defaultRowHeight="15" x14ac:dyDescent="0.25"/>
  <cols>
    <col min="1" max="1" width="39.42578125" bestFit="1" customWidth="1"/>
    <col min="2" max="2" width="13.42578125" bestFit="1" customWidth="1"/>
    <col min="3" max="3" width="14.85546875" bestFit="1" customWidth="1"/>
    <col min="4" max="4" width="12.28515625" bestFit="1" customWidth="1"/>
    <col min="5" max="5" width="10" bestFit="1" customWidth="1"/>
  </cols>
  <sheetData>
    <row r="1" spans="1:5" x14ac:dyDescent="0.25">
      <c r="A1" s="12" t="s">
        <v>254</v>
      </c>
      <c r="B1" s="12"/>
      <c r="C1" s="12"/>
      <c r="D1" s="12"/>
      <c r="E1" s="12"/>
    </row>
    <row r="3" spans="1:5" x14ac:dyDescent="0.25">
      <c r="A3" s="3" t="s">
        <v>247</v>
      </c>
      <c r="B3" t="s">
        <v>249</v>
      </c>
      <c r="C3" t="s">
        <v>250</v>
      </c>
      <c r="D3" t="s">
        <v>252</v>
      </c>
      <c r="E3" t="s">
        <v>253</v>
      </c>
    </row>
    <row r="4" spans="1:5" x14ac:dyDescent="0.25">
      <c r="A4" s="4" t="s">
        <v>7</v>
      </c>
      <c r="B4" s="6">
        <v>3069.58</v>
      </c>
      <c r="C4" s="6">
        <v>18577.899999999998</v>
      </c>
      <c r="D4" s="6">
        <v>15508.32</v>
      </c>
      <c r="E4" s="7">
        <v>8.1619047619047631</v>
      </c>
    </row>
    <row r="5" spans="1:5" x14ac:dyDescent="0.25">
      <c r="A5" s="5" t="s">
        <v>200</v>
      </c>
      <c r="B5" s="6">
        <v>237</v>
      </c>
      <c r="C5" s="6">
        <v>2847</v>
      </c>
      <c r="D5" s="6">
        <v>2610</v>
      </c>
      <c r="E5" s="7">
        <v>7.8</v>
      </c>
    </row>
    <row r="6" spans="1:5" x14ac:dyDescent="0.25">
      <c r="A6" s="5" t="s">
        <v>212</v>
      </c>
      <c r="B6" s="6">
        <v>400</v>
      </c>
      <c r="C6" s="6">
        <v>2798</v>
      </c>
      <c r="D6" s="6">
        <v>2398</v>
      </c>
      <c r="E6" s="7">
        <v>8.4</v>
      </c>
    </row>
    <row r="7" spans="1:5" x14ac:dyDescent="0.25">
      <c r="A7" s="5" t="s">
        <v>196</v>
      </c>
      <c r="B7" s="6">
        <v>200</v>
      </c>
      <c r="C7" s="6">
        <v>2202</v>
      </c>
      <c r="D7" s="6">
        <v>2002</v>
      </c>
      <c r="E7" s="7">
        <v>7.9</v>
      </c>
    </row>
    <row r="8" spans="1:5" x14ac:dyDescent="0.25">
      <c r="A8" s="5" t="s">
        <v>214</v>
      </c>
      <c r="B8" s="6">
        <v>400</v>
      </c>
      <c r="C8" s="6">
        <v>2048</v>
      </c>
      <c r="D8" s="6">
        <v>1648</v>
      </c>
      <c r="E8" s="7">
        <v>8.4</v>
      </c>
    </row>
    <row r="9" spans="1:5" x14ac:dyDescent="0.25">
      <c r="A9" s="5" t="s">
        <v>208</v>
      </c>
      <c r="B9" s="6">
        <v>63</v>
      </c>
      <c r="C9" s="6">
        <v>1046</v>
      </c>
      <c r="D9" s="6">
        <v>983</v>
      </c>
      <c r="E9" s="7">
        <v>8.1999999999999993</v>
      </c>
    </row>
    <row r="10" spans="1:5" x14ac:dyDescent="0.25">
      <c r="A10" s="5" t="s">
        <v>204</v>
      </c>
      <c r="B10" s="6">
        <v>185</v>
      </c>
      <c r="C10" s="6">
        <v>1006</v>
      </c>
      <c r="D10" s="6">
        <v>821</v>
      </c>
      <c r="E10" s="7">
        <v>9</v>
      </c>
    </row>
    <row r="11" spans="1:5" x14ac:dyDescent="0.25">
      <c r="A11" s="5" t="s">
        <v>171</v>
      </c>
      <c r="B11" s="6">
        <v>200</v>
      </c>
      <c r="C11" s="6">
        <v>954.8</v>
      </c>
      <c r="D11" s="6">
        <v>754.8</v>
      </c>
      <c r="E11" s="7">
        <v>7</v>
      </c>
    </row>
    <row r="12" spans="1:5" x14ac:dyDescent="0.25">
      <c r="A12" s="5" t="s">
        <v>175</v>
      </c>
      <c r="B12" s="6">
        <v>180</v>
      </c>
      <c r="C12" s="6">
        <v>854</v>
      </c>
      <c r="D12" s="6">
        <v>674</v>
      </c>
      <c r="E12" s="7">
        <v>7.9</v>
      </c>
    </row>
    <row r="13" spans="1:5" x14ac:dyDescent="0.25">
      <c r="A13" s="5" t="s">
        <v>238</v>
      </c>
      <c r="B13" s="6">
        <v>177</v>
      </c>
      <c r="C13" s="6">
        <v>714.4</v>
      </c>
      <c r="D13" s="6">
        <v>537.4</v>
      </c>
      <c r="E13" s="7">
        <v>7.8</v>
      </c>
    </row>
    <row r="14" spans="1:5" x14ac:dyDescent="0.25">
      <c r="A14" s="5" t="s">
        <v>190</v>
      </c>
      <c r="B14" s="6">
        <v>165</v>
      </c>
      <c r="C14" s="6">
        <v>701.8</v>
      </c>
      <c r="D14" s="6">
        <v>536.79999999999995</v>
      </c>
      <c r="E14" s="7">
        <v>8.6</v>
      </c>
    </row>
    <row r="15" spans="1:5" x14ac:dyDescent="0.25">
      <c r="A15" s="5" t="s">
        <v>173</v>
      </c>
      <c r="B15" s="6">
        <v>165</v>
      </c>
      <c r="C15" s="6">
        <v>644.79999999999995</v>
      </c>
      <c r="D15" s="6">
        <v>479.8</v>
      </c>
      <c r="E15" s="7">
        <v>6.8</v>
      </c>
    </row>
    <row r="16" spans="1:5" x14ac:dyDescent="0.25">
      <c r="A16" s="5" t="s">
        <v>177</v>
      </c>
      <c r="B16" s="6">
        <v>250</v>
      </c>
      <c r="C16" s="6">
        <v>670</v>
      </c>
      <c r="D16" s="6">
        <v>420</v>
      </c>
      <c r="E16" s="7">
        <v>6.8</v>
      </c>
    </row>
    <row r="17" spans="1:5" x14ac:dyDescent="0.25">
      <c r="A17" s="5" t="s">
        <v>194</v>
      </c>
      <c r="B17" s="6">
        <v>103</v>
      </c>
      <c r="C17" s="6">
        <v>460.5</v>
      </c>
      <c r="D17" s="6">
        <v>357.5</v>
      </c>
      <c r="E17" s="7">
        <v>8.5</v>
      </c>
    </row>
    <row r="18" spans="1:5" x14ac:dyDescent="0.25">
      <c r="A18" s="5" t="s">
        <v>206</v>
      </c>
      <c r="B18" s="6">
        <v>22</v>
      </c>
      <c r="C18" s="6">
        <v>322.2</v>
      </c>
      <c r="D18" s="6">
        <v>300.2</v>
      </c>
      <c r="E18" s="7">
        <v>9</v>
      </c>
    </row>
    <row r="19" spans="1:5" x14ac:dyDescent="0.25">
      <c r="A19" s="5" t="s">
        <v>202</v>
      </c>
      <c r="B19" s="6">
        <v>7.2</v>
      </c>
      <c r="C19" s="6">
        <v>291</v>
      </c>
      <c r="D19" s="6">
        <v>283.8</v>
      </c>
      <c r="E19" s="7">
        <v>9.1999999999999993</v>
      </c>
    </row>
    <row r="20" spans="1:5" x14ac:dyDescent="0.25">
      <c r="A20" s="5" t="s">
        <v>192</v>
      </c>
      <c r="B20" s="6">
        <v>55</v>
      </c>
      <c r="C20" s="6">
        <v>307.10000000000002</v>
      </c>
      <c r="D20" s="6">
        <v>252.1</v>
      </c>
      <c r="E20" s="7">
        <v>8</v>
      </c>
    </row>
    <row r="21" spans="1:5" x14ac:dyDescent="0.25">
      <c r="A21" s="5" t="s">
        <v>210</v>
      </c>
      <c r="B21" s="6">
        <v>15.5</v>
      </c>
      <c r="C21" s="6">
        <v>263.10000000000002</v>
      </c>
      <c r="D21" s="6">
        <v>247.6</v>
      </c>
      <c r="E21" s="7">
        <v>8.5</v>
      </c>
    </row>
    <row r="22" spans="1:5" x14ac:dyDescent="0.25">
      <c r="A22" s="5" t="s">
        <v>236</v>
      </c>
      <c r="B22" s="6">
        <v>216.7</v>
      </c>
      <c r="C22" s="6">
        <v>370.6</v>
      </c>
      <c r="D22" s="6">
        <v>153.9</v>
      </c>
      <c r="E22" s="7">
        <v>6.9</v>
      </c>
    </row>
    <row r="23" spans="1:5" x14ac:dyDescent="0.25">
      <c r="A23" s="5" t="s">
        <v>188</v>
      </c>
      <c r="B23" s="6">
        <v>25</v>
      </c>
      <c r="C23" s="6">
        <v>73.3</v>
      </c>
      <c r="D23" s="6">
        <v>48.3</v>
      </c>
      <c r="E23" s="7">
        <v>9.3000000000000007</v>
      </c>
    </row>
    <row r="24" spans="1:5" x14ac:dyDescent="0.25">
      <c r="A24" s="5" t="s">
        <v>198</v>
      </c>
      <c r="B24" s="6">
        <v>3.18</v>
      </c>
      <c r="C24" s="6">
        <v>3.3</v>
      </c>
      <c r="D24" s="6">
        <v>0.12</v>
      </c>
      <c r="E24" s="7">
        <v>8.6</v>
      </c>
    </row>
    <row r="25" spans="1:5" x14ac:dyDescent="0.25">
      <c r="A25" s="5" t="s">
        <v>246</v>
      </c>
      <c r="B25" s="6"/>
      <c r="C25" s="6"/>
      <c r="D25" s="6"/>
      <c r="E25" s="7">
        <v>8.8000000000000007</v>
      </c>
    </row>
    <row r="26" spans="1:5" x14ac:dyDescent="0.25">
      <c r="A26" s="4" t="s">
        <v>6</v>
      </c>
      <c r="B26" s="6">
        <v>232.875</v>
      </c>
      <c r="C26" s="6">
        <v>1011.3625</v>
      </c>
      <c r="D26" s="6">
        <v>778.48749999999995</v>
      </c>
      <c r="E26" s="7">
        <v>7.6823529411764699</v>
      </c>
    </row>
    <row r="27" spans="1:5" x14ac:dyDescent="0.25">
      <c r="A27" s="5" t="s">
        <v>168</v>
      </c>
      <c r="B27" s="6">
        <v>12.5</v>
      </c>
      <c r="C27" s="6">
        <v>156.25</v>
      </c>
      <c r="D27" s="6">
        <v>143.75</v>
      </c>
      <c r="E27" s="7">
        <v>8.4</v>
      </c>
    </row>
    <row r="28" spans="1:5" x14ac:dyDescent="0.25">
      <c r="A28" s="5" t="s">
        <v>234</v>
      </c>
      <c r="B28" s="6">
        <v>11.25</v>
      </c>
      <c r="C28" s="6">
        <v>146.125</v>
      </c>
      <c r="D28" s="6">
        <v>134.875</v>
      </c>
      <c r="E28" s="7">
        <v>8.1</v>
      </c>
    </row>
    <row r="29" spans="1:5" x14ac:dyDescent="0.25">
      <c r="A29" s="5" t="s">
        <v>222</v>
      </c>
      <c r="B29" s="6">
        <v>10.625</v>
      </c>
      <c r="C29" s="6">
        <v>106.75</v>
      </c>
      <c r="D29" s="6">
        <v>96.125</v>
      </c>
      <c r="E29" s="7">
        <v>8.1</v>
      </c>
    </row>
    <row r="30" spans="1:5" x14ac:dyDescent="0.25">
      <c r="A30" s="5" t="s">
        <v>228</v>
      </c>
      <c r="B30" s="6">
        <v>68.75</v>
      </c>
      <c r="C30" s="6">
        <v>150</v>
      </c>
      <c r="D30" s="6">
        <v>81.25</v>
      </c>
      <c r="E30" s="7">
        <v>8</v>
      </c>
    </row>
    <row r="31" spans="1:5" x14ac:dyDescent="0.25">
      <c r="A31" s="5" t="s">
        <v>224</v>
      </c>
      <c r="B31" s="6">
        <v>12.5</v>
      </c>
      <c r="C31" s="6">
        <v>73.75</v>
      </c>
      <c r="D31" s="6">
        <v>61.25</v>
      </c>
      <c r="E31" s="7"/>
    </row>
    <row r="32" spans="1:5" x14ac:dyDescent="0.25">
      <c r="A32" s="5" t="s">
        <v>230</v>
      </c>
      <c r="B32" s="6">
        <v>22.5</v>
      </c>
      <c r="C32" s="6">
        <v>81.25</v>
      </c>
      <c r="D32" s="6">
        <v>58.75</v>
      </c>
      <c r="E32" s="7">
        <v>8</v>
      </c>
    </row>
    <row r="33" spans="1:5" x14ac:dyDescent="0.25">
      <c r="A33" s="5" t="s">
        <v>181</v>
      </c>
      <c r="B33" s="6">
        <v>6.875</v>
      </c>
      <c r="C33" s="6">
        <v>50</v>
      </c>
      <c r="D33" s="6">
        <v>43.125</v>
      </c>
      <c r="E33" s="7">
        <v>8.4</v>
      </c>
    </row>
    <row r="34" spans="1:5" x14ac:dyDescent="0.25">
      <c r="A34" s="5" t="s">
        <v>232</v>
      </c>
      <c r="B34" s="6">
        <v>3.125</v>
      </c>
      <c r="C34" s="6">
        <v>42.612499999999997</v>
      </c>
      <c r="D34" s="6">
        <v>39.487499999999997</v>
      </c>
      <c r="E34" s="7">
        <v>8.3000000000000007</v>
      </c>
    </row>
    <row r="35" spans="1:5" x14ac:dyDescent="0.25">
      <c r="A35" s="5" t="s">
        <v>185</v>
      </c>
      <c r="B35" s="6">
        <v>17.5</v>
      </c>
      <c r="C35" s="6">
        <v>43.75</v>
      </c>
      <c r="D35" s="6">
        <v>26.25</v>
      </c>
      <c r="E35" s="7">
        <v>7.2</v>
      </c>
    </row>
    <row r="36" spans="1:5" x14ac:dyDescent="0.25">
      <c r="A36" s="5" t="s">
        <v>179</v>
      </c>
      <c r="B36" s="6">
        <v>5</v>
      </c>
      <c r="C36" s="6">
        <v>25</v>
      </c>
      <c r="D36" s="6">
        <v>20</v>
      </c>
      <c r="E36" s="7">
        <v>8</v>
      </c>
    </row>
    <row r="37" spans="1:5" x14ac:dyDescent="0.25">
      <c r="A37" s="5" t="s">
        <v>226</v>
      </c>
      <c r="B37" s="6">
        <v>25</v>
      </c>
      <c r="C37" s="6">
        <v>45</v>
      </c>
      <c r="D37" s="6">
        <v>20</v>
      </c>
      <c r="E37" s="7">
        <v>7.6</v>
      </c>
    </row>
    <row r="38" spans="1:5" x14ac:dyDescent="0.25">
      <c r="A38" s="5" t="s">
        <v>240</v>
      </c>
      <c r="B38" s="6">
        <v>22.5</v>
      </c>
      <c r="C38" s="6">
        <v>38.75</v>
      </c>
      <c r="D38" s="6">
        <v>16.25</v>
      </c>
      <c r="E38" s="7">
        <v>1.9</v>
      </c>
    </row>
    <row r="39" spans="1:5" x14ac:dyDescent="0.25">
      <c r="A39" s="5" t="s">
        <v>218</v>
      </c>
      <c r="B39" s="6">
        <v>1.5</v>
      </c>
      <c r="C39" s="6">
        <v>16.875</v>
      </c>
      <c r="D39" s="6">
        <v>15.375</v>
      </c>
      <c r="E39" s="7">
        <v>8.3000000000000007</v>
      </c>
    </row>
    <row r="40" spans="1:5" x14ac:dyDescent="0.25">
      <c r="A40" s="5" t="s">
        <v>183</v>
      </c>
      <c r="B40" s="6">
        <v>4.875</v>
      </c>
      <c r="C40" s="6">
        <v>17</v>
      </c>
      <c r="D40" s="6">
        <v>12.125</v>
      </c>
      <c r="E40" s="7">
        <v>7.4</v>
      </c>
    </row>
    <row r="41" spans="1:5" x14ac:dyDescent="0.25">
      <c r="A41" s="5" t="s">
        <v>242</v>
      </c>
      <c r="B41" s="6">
        <v>6.25</v>
      </c>
      <c r="C41" s="6">
        <v>11.875</v>
      </c>
      <c r="D41" s="6">
        <v>5.625</v>
      </c>
      <c r="E41" s="7">
        <v>8.4</v>
      </c>
    </row>
    <row r="42" spans="1:5" x14ac:dyDescent="0.25">
      <c r="A42" s="5" t="s">
        <v>220</v>
      </c>
      <c r="B42" s="6">
        <v>1.25</v>
      </c>
      <c r="C42" s="6">
        <v>5.125</v>
      </c>
      <c r="D42" s="6">
        <v>3.875</v>
      </c>
      <c r="E42" s="7">
        <v>8.1</v>
      </c>
    </row>
    <row r="43" spans="1:5" x14ac:dyDescent="0.25">
      <c r="A43" s="5" t="s">
        <v>215</v>
      </c>
      <c r="B43" s="6">
        <v>0.875</v>
      </c>
      <c r="C43" s="6">
        <v>1.25</v>
      </c>
      <c r="D43" s="6">
        <v>0.375</v>
      </c>
      <c r="E43" s="7">
        <v>8.3000000000000007</v>
      </c>
    </row>
    <row r="44" spans="1:5" x14ac:dyDescent="0.25">
      <c r="A44" s="5" t="s">
        <v>244</v>
      </c>
      <c r="B44" s="6"/>
      <c r="C44" s="6"/>
      <c r="D44" s="6"/>
      <c r="E44" s="7">
        <v>8.1</v>
      </c>
    </row>
    <row r="45" spans="1:5" x14ac:dyDescent="0.25">
      <c r="A45" s="4" t="s">
        <v>248</v>
      </c>
      <c r="B45" s="6">
        <v>3302.4549999999999</v>
      </c>
      <c r="C45" s="6">
        <v>19589.262499999997</v>
      </c>
      <c r="D45" s="6">
        <v>16286.807499999999</v>
      </c>
      <c r="E45" s="7">
        <v>7.9473684210526301</v>
      </c>
    </row>
  </sheetData>
  <mergeCells count="1">
    <mergeCell ref="A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CBB59-38F2-4B93-BB47-59C4849C8BC8}">
  <sheetPr codeName="Sheet2"/>
  <dimension ref="A1:L25"/>
  <sheetViews>
    <sheetView showGridLines="0" tabSelected="1" zoomScale="80" zoomScaleNormal="80" workbookViewId="0">
      <selection activeCell="G11" sqref="G11"/>
    </sheetView>
  </sheetViews>
  <sheetFormatPr defaultRowHeight="15" x14ac:dyDescent="0.25"/>
  <cols>
    <col min="1" max="1" width="30.7109375" bestFit="1" customWidth="1"/>
    <col min="2" max="2" width="13.42578125" bestFit="1" customWidth="1"/>
    <col min="3" max="3" width="11.7109375" bestFit="1" customWidth="1"/>
    <col min="4" max="4" width="10.85546875" bestFit="1" customWidth="1"/>
    <col min="5" max="5" width="9.28515625" bestFit="1" customWidth="1"/>
    <col min="6" max="6" width="11" bestFit="1" customWidth="1"/>
    <col min="7" max="7" width="12.140625" bestFit="1" customWidth="1"/>
    <col min="8" max="8" width="21" bestFit="1" customWidth="1"/>
    <col min="9" max="9" width="17.42578125" bestFit="1" customWidth="1"/>
  </cols>
  <sheetData>
    <row r="1" spans="1:12" ht="21" x14ac:dyDescent="0.35">
      <c r="A1" s="13" t="s">
        <v>264</v>
      </c>
      <c r="B1" s="13"/>
      <c r="C1" s="13"/>
      <c r="D1" s="13"/>
      <c r="E1" s="13"/>
      <c r="F1" s="13"/>
      <c r="G1" s="13"/>
      <c r="H1" s="13"/>
      <c r="I1" s="13"/>
    </row>
    <row r="3" spans="1:12" x14ac:dyDescent="0.25">
      <c r="A3" s="3" t="s">
        <v>265</v>
      </c>
      <c r="B3" t="s">
        <v>255</v>
      </c>
      <c r="C3" t="s">
        <v>256</v>
      </c>
      <c r="D3" t="s">
        <v>257</v>
      </c>
      <c r="E3" t="s">
        <v>258</v>
      </c>
      <c r="F3" t="s">
        <v>261</v>
      </c>
      <c r="G3" t="s">
        <v>260</v>
      </c>
      <c r="H3" s="11" t="s">
        <v>262</v>
      </c>
      <c r="I3" t="s">
        <v>263</v>
      </c>
    </row>
    <row r="4" spans="1:12" x14ac:dyDescent="0.25">
      <c r="A4" s="4" t="s">
        <v>6</v>
      </c>
      <c r="B4" s="8">
        <v>949.48749999999995</v>
      </c>
      <c r="C4" s="8">
        <v>213</v>
      </c>
      <c r="D4" s="8">
        <v>736.48749999999995</v>
      </c>
      <c r="E4" s="9">
        <v>3.4576877934272296</v>
      </c>
      <c r="F4" s="8">
        <v>166.43</v>
      </c>
      <c r="G4" s="8">
        <v>657</v>
      </c>
      <c r="H4" s="11">
        <v>79.487499999999955</v>
      </c>
      <c r="I4" s="9">
        <v>0.12098554033485534</v>
      </c>
    </row>
    <row r="5" spans="1:12" x14ac:dyDescent="0.25">
      <c r="A5" s="5" t="s">
        <v>25</v>
      </c>
      <c r="B5" s="8">
        <v>81.25</v>
      </c>
      <c r="C5" s="8">
        <v>22.5</v>
      </c>
      <c r="D5" s="8">
        <v>58.75</v>
      </c>
      <c r="E5" s="9">
        <v>2.6111111111111112</v>
      </c>
      <c r="F5" s="8">
        <v>42.73</v>
      </c>
      <c r="G5" s="8">
        <v>42.73</v>
      </c>
      <c r="H5" s="11">
        <v>16.020000000000003</v>
      </c>
      <c r="I5" s="9">
        <v>0.37491223964427811</v>
      </c>
    </row>
    <row r="6" spans="1:12" x14ac:dyDescent="0.25">
      <c r="A6" s="5" t="s">
        <v>12</v>
      </c>
      <c r="B6" s="8">
        <v>28.875</v>
      </c>
      <c r="C6" s="8">
        <v>11.125</v>
      </c>
      <c r="D6" s="8">
        <v>17.75</v>
      </c>
      <c r="E6" s="9">
        <v>1.595505617977528</v>
      </c>
      <c r="F6" s="8">
        <v>12.17</v>
      </c>
      <c r="G6" s="8">
        <v>12.17</v>
      </c>
      <c r="H6" s="11">
        <v>5.58</v>
      </c>
      <c r="I6" s="9">
        <v>0.45850451930977815</v>
      </c>
      <c r="K6" s="8"/>
      <c r="L6" s="11"/>
    </row>
    <row r="7" spans="1:12" x14ac:dyDescent="0.25">
      <c r="A7" s="5" t="s">
        <v>24</v>
      </c>
      <c r="B7" s="8">
        <v>150</v>
      </c>
      <c r="C7" s="8">
        <v>68.75</v>
      </c>
      <c r="D7" s="8">
        <v>81.25</v>
      </c>
      <c r="E7" s="9">
        <v>1.1818181818181819</v>
      </c>
      <c r="F7" s="8">
        <v>54.87</v>
      </c>
      <c r="G7" s="8">
        <v>54.87</v>
      </c>
      <c r="H7" s="11">
        <v>26.380000000000003</v>
      </c>
      <c r="I7" s="9">
        <v>0.48077273555677064</v>
      </c>
    </row>
    <row r="8" spans="1:12" x14ac:dyDescent="0.25">
      <c r="A8" s="5" t="s">
        <v>169</v>
      </c>
      <c r="B8" s="8">
        <v>156.25</v>
      </c>
      <c r="C8" s="8">
        <v>12.5</v>
      </c>
      <c r="D8" s="8">
        <v>143.75</v>
      </c>
      <c r="E8" s="9">
        <v>11.5</v>
      </c>
      <c r="F8" s="8">
        <v>165.78</v>
      </c>
      <c r="G8" s="8">
        <v>165.78</v>
      </c>
      <c r="H8" s="11">
        <v>-22.03</v>
      </c>
      <c r="I8" s="9">
        <v>-0.13288695861985764</v>
      </c>
    </row>
    <row r="9" spans="1:12" x14ac:dyDescent="0.25">
      <c r="A9" s="5" t="s">
        <v>23</v>
      </c>
      <c r="B9" s="8">
        <v>45</v>
      </c>
      <c r="C9" s="8">
        <v>25</v>
      </c>
      <c r="D9" s="8">
        <v>20</v>
      </c>
      <c r="E9" s="9">
        <v>0.8</v>
      </c>
      <c r="F9" s="8">
        <v>14.13</v>
      </c>
      <c r="G9" s="8">
        <v>14.13</v>
      </c>
      <c r="H9" s="11">
        <v>5.8699999999999992</v>
      </c>
      <c r="I9" s="9">
        <v>0.41542816702052365</v>
      </c>
    </row>
    <row r="10" spans="1:12" x14ac:dyDescent="0.25">
      <c r="A10" s="5" t="s">
        <v>27</v>
      </c>
      <c r="B10" s="8">
        <v>184.875</v>
      </c>
      <c r="C10" s="8">
        <v>33.75</v>
      </c>
      <c r="D10" s="8">
        <v>151.125</v>
      </c>
      <c r="E10" s="9">
        <v>4.4777777777777779</v>
      </c>
      <c r="F10" s="8">
        <v>166.43</v>
      </c>
      <c r="G10" s="8">
        <v>166.43</v>
      </c>
      <c r="H10" s="11">
        <v>-15.305000000000007</v>
      </c>
      <c r="I10" s="9">
        <v>-9.1960584029321668E-2</v>
      </c>
    </row>
    <row r="11" spans="1:12" x14ac:dyDescent="0.25">
      <c r="A11" s="5" t="s">
        <v>11</v>
      </c>
      <c r="B11" s="8">
        <v>230.5</v>
      </c>
      <c r="C11" s="8">
        <v>30</v>
      </c>
      <c r="D11" s="8">
        <v>200.5</v>
      </c>
      <c r="E11" s="9">
        <v>6.6833333333333336</v>
      </c>
      <c r="F11" s="8">
        <v>135.4</v>
      </c>
      <c r="G11" s="8">
        <v>135.4</v>
      </c>
      <c r="H11" s="11">
        <v>65.099999999999994</v>
      </c>
      <c r="I11" s="9">
        <v>0.48079763663220082</v>
      </c>
    </row>
    <row r="12" spans="1:12" x14ac:dyDescent="0.25">
      <c r="A12" s="5" t="s">
        <v>22</v>
      </c>
      <c r="B12" s="8">
        <v>5.125</v>
      </c>
      <c r="C12" s="8">
        <v>1.25</v>
      </c>
      <c r="D12" s="8">
        <v>3.875</v>
      </c>
      <c r="E12" s="9">
        <v>3.1</v>
      </c>
      <c r="F12" s="8">
        <v>3.46</v>
      </c>
      <c r="G12" s="8">
        <v>3.46</v>
      </c>
      <c r="H12" s="11">
        <v>0.41500000000000004</v>
      </c>
      <c r="I12" s="9">
        <v>0.11994219653179192</v>
      </c>
    </row>
    <row r="13" spans="1:12" x14ac:dyDescent="0.25">
      <c r="A13" s="5" t="s">
        <v>10</v>
      </c>
      <c r="B13" s="8">
        <v>25</v>
      </c>
      <c r="C13" s="8">
        <v>5</v>
      </c>
      <c r="D13" s="8">
        <v>20</v>
      </c>
      <c r="E13" s="9">
        <v>4</v>
      </c>
      <c r="F13" s="8">
        <v>22.23</v>
      </c>
      <c r="G13" s="8">
        <v>22.23</v>
      </c>
      <c r="H13" s="11">
        <v>-2.2300000000000004</v>
      </c>
      <c r="I13" s="9">
        <v>-0.10031488978857402</v>
      </c>
    </row>
    <row r="14" spans="1:12" x14ac:dyDescent="0.25">
      <c r="A14" s="5" t="s">
        <v>26</v>
      </c>
      <c r="B14" s="8">
        <v>42.612499999999997</v>
      </c>
      <c r="C14" s="8">
        <v>3.125</v>
      </c>
      <c r="D14" s="8">
        <v>39.487499999999997</v>
      </c>
      <c r="E14" s="9">
        <v>12.635999999999999</v>
      </c>
      <c r="F14" s="8">
        <v>39.799999999999997</v>
      </c>
      <c r="G14" s="8">
        <v>39.799999999999997</v>
      </c>
      <c r="H14" s="11">
        <v>-0.3125</v>
      </c>
      <c r="I14" s="9">
        <v>-7.8517587939698503E-3</v>
      </c>
    </row>
    <row r="15" spans="1:12" x14ac:dyDescent="0.25">
      <c r="A15" s="4" t="s">
        <v>7</v>
      </c>
      <c r="B15" s="8">
        <v>18314.800000000003</v>
      </c>
      <c r="C15" s="8">
        <v>3054.08</v>
      </c>
      <c r="D15" s="8">
        <v>15260.720000000003</v>
      </c>
      <c r="E15" s="9">
        <v>4.9968304694048626</v>
      </c>
      <c r="F15" s="8">
        <v>6000</v>
      </c>
      <c r="G15" s="8">
        <v>13251.380000000001</v>
      </c>
      <c r="H15" s="11">
        <v>2009.340000000002</v>
      </c>
      <c r="I15" s="9">
        <v>0.151632509217908</v>
      </c>
    </row>
    <row r="16" spans="1:12" x14ac:dyDescent="0.25">
      <c r="A16" s="5" t="s">
        <v>19</v>
      </c>
      <c r="B16" s="8">
        <v>2847</v>
      </c>
      <c r="C16" s="8">
        <v>237</v>
      </c>
      <c r="D16" s="8">
        <v>2610</v>
      </c>
      <c r="E16" s="9">
        <v>11.012658227848101</v>
      </c>
      <c r="F16" s="8">
        <v>2244.6</v>
      </c>
      <c r="G16" s="8">
        <v>2244.6</v>
      </c>
      <c r="H16" s="11">
        <v>365.40000000000009</v>
      </c>
      <c r="I16" s="9">
        <v>0.16279069767441864</v>
      </c>
    </row>
    <row r="17" spans="1:9" x14ac:dyDescent="0.25">
      <c r="A17" s="5" t="s">
        <v>13</v>
      </c>
      <c r="B17" s="8">
        <v>73.3</v>
      </c>
      <c r="C17" s="8">
        <v>25</v>
      </c>
      <c r="D17" s="8">
        <v>48.3</v>
      </c>
      <c r="E17" s="9">
        <v>1.9319999999999999</v>
      </c>
      <c r="F17" s="8">
        <v>47.33</v>
      </c>
      <c r="G17" s="8">
        <v>47.33</v>
      </c>
      <c r="H17" s="11">
        <v>0.96999999999999886</v>
      </c>
      <c r="I17" s="9">
        <v>2.0494401014155905E-2</v>
      </c>
    </row>
    <row r="18" spans="1:9" x14ac:dyDescent="0.25">
      <c r="A18" s="5" t="s">
        <v>15</v>
      </c>
      <c r="B18" s="8">
        <v>307.10000000000002</v>
      </c>
      <c r="C18" s="8">
        <v>55</v>
      </c>
      <c r="D18" s="8">
        <v>252.10000000000002</v>
      </c>
      <c r="E18" s="9">
        <v>4.583636363636364</v>
      </c>
      <c r="F18" s="8">
        <v>229.41</v>
      </c>
      <c r="G18" s="8">
        <v>229.41</v>
      </c>
      <c r="H18" s="11">
        <v>22.690000000000026</v>
      </c>
      <c r="I18" s="9">
        <v>9.8905889019659243E-2</v>
      </c>
    </row>
    <row r="19" spans="1:9" x14ac:dyDescent="0.25">
      <c r="A19" s="5" t="s">
        <v>18</v>
      </c>
      <c r="B19" s="8">
        <v>3.3</v>
      </c>
      <c r="C19" s="8">
        <v>3.18</v>
      </c>
      <c r="D19" s="8">
        <v>0.11999999999999966</v>
      </c>
      <c r="E19" s="9">
        <v>3.7735849056603668E-2</v>
      </c>
      <c r="F19" s="8">
        <v>0.86</v>
      </c>
      <c r="G19" s="8">
        <v>0.86</v>
      </c>
      <c r="H19" s="11">
        <v>-0.74000000000000032</v>
      </c>
      <c r="I19" s="9">
        <v>-0.86046511627907019</v>
      </c>
    </row>
    <row r="20" spans="1:9" x14ac:dyDescent="0.25">
      <c r="A20" s="5" t="s">
        <v>8</v>
      </c>
      <c r="B20" s="8">
        <v>9054.6</v>
      </c>
      <c r="C20" s="8">
        <v>1988.7</v>
      </c>
      <c r="D20" s="8">
        <v>7065.9000000000005</v>
      </c>
      <c r="E20" s="9">
        <v>3.5530245889274403</v>
      </c>
      <c r="F20" s="8">
        <v>6000</v>
      </c>
      <c r="G20" s="8">
        <v>6000</v>
      </c>
      <c r="H20" s="11">
        <v>1065.9000000000005</v>
      </c>
      <c r="I20" s="9">
        <v>0.17765000000000009</v>
      </c>
    </row>
    <row r="21" spans="1:9" x14ac:dyDescent="0.25">
      <c r="A21" s="5" t="s">
        <v>17</v>
      </c>
      <c r="B21" s="8">
        <v>2493</v>
      </c>
      <c r="C21" s="8">
        <v>207.2</v>
      </c>
      <c r="D21" s="8">
        <v>2285.8000000000002</v>
      </c>
      <c r="E21" s="9">
        <v>11.031853281853284</v>
      </c>
      <c r="F21" s="8">
        <v>2194.37</v>
      </c>
      <c r="G21" s="8">
        <v>2194.37</v>
      </c>
      <c r="H21" s="11">
        <v>91.430000000000291</v>
      </c>
      <c r="I21" s="9">
        <v>4.1665717267370721E-2</v>
      </c>
    </row>
    <row r="22" spans="1:9" x14ac:dyDescent="0.25">
      <c r="A22" s="5" t="s">
        <v>20</v>
      </c>
      <c r="B22" s="8">
        <v>1006</v>
      </c>
      <c r="C22" s="8">
        <v>185</v>
      </c>
      <c r="D22" s="8">
        <v>821</v>
      </c>
      <c r="E22" s="9">
        <v>4.4378378378378383</v>
      </c>
      <c r="F22" s="8">
        <v>640.38</v>
      </c>
      <c r="G22" s="8">
        <v>640.38</v>
      </c>
      <c r="H22" s="11">
        <v>180.62</v>
      </c>
      <c r="I22" s="9">
        <v>0.28205128205128205</v>
      </c>
    </row>
    <row r="23" spans="1:9" x14ac:dyDescent="0.25">
      <c r="A23" s="5" t="s">
        <v>21</v>
      </c>
      <c r="B23" s="8">
        <v>1828.7</v>
      </c>
      <c r="C23" s="8">
        <v>188</v>
      </c>
      <c r="D23" s="8">
        <v>1640.7</v>
      </c>
      <c r="E23" s="9">
        <v>8.7271276595744691</v>
      </c>
      <c r="F23" s="8">
        <v>1427.41</v>
      </c>
      <c r="G23" s="8">
        <v>1427.41</v>
      </c>
      <c r="H23" s="11">
        <v>213.28999999999996</v>
      </c>
      <c r="I23" s="9">
        <v>0.14942448210395048</v>
      </c>
    </row>
    <row r="24" spans="1:9" x14ac:dyDescent="0.25">
      <c r="A24" s="5" t="s">
        <v>14</v>
      </c>
      <c r="B24" s="8">
        <v>701.8</v>
      </c>
      <c r="C24" s="8">
        <v>165</v>
      </c>
      <c r="D24" s="8">
        <v>536.79999999999995</v>
      </c>
      <c r="E24" s="9">
        <v>3.253333333333333</v>
      </c>
      <c r="F24" s="8">
        <v>467.02</v>
      </c>
      <c r="G24" s="8">
        <v>467.02</v>
      </c>
      <c r="H24" s="11">
        <v>69.779999999999973</v>
      </c>
      <c r="I24" s="9">
        <v>0.1494154425934649</v>
      </c>
    </row>
    <row r="25" spans="1:9" x14ac:dyDescent="0.25">
      <c r="A25" s="4" t="s">
        <v>248</v>
      </c>
      <c r="B25" s="8">
        <v>19264.287500000002</v>
      </c>
      <c r="C25" s="8">
        <v>3267.08</v>
      </c>
      <c r="D25" s="8">
        <v>15997.207500000002</v>
      </c>
      <c r="E25" s="9">
        <v>4.896484781517441</v>
      </c>
      <c r="F25" s="8">
        <v>6000</v>
      </c>
      <c r="G25" s="8">
        <v>13908.379999999997</v>
      </c>
      <c r="H25" s="11">
        <v>2088.8275000000049</v>
      </c>
      <c r="I25" s="9">
        <v>0.15018481663572647</v>
      </c>
    </row>
  </sheetData>
  <mergeCells count="1">
    <mergeCell ref="A1:I1"/>
  </mergeCells>
  <conditionalFormatting pivot="1" sqref="I4:I25">
    <cfRule type="cellIs" dxfId="0" priority="1" operator="lessThan">
      <formula>0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resh">
                <anchor moveWithCells="1">
                  <from>
                    <xdr:col>9</xdr:col>
                    <xdr:colOff>581025</xdr:colOff>
                    <xdr:row>2</xdr:row>
                    <xdr:rowOff>76200</xdr:rowOff>
                  </from>
                  <to>
                    <xdr:col>11</xdr:col>
                    <xdr:colOff>219075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B5B09-EDBD-42E2-A58A-FB11C4832383}">
  <sheetPr codeName="Sheet3"/>
  <dimension ref="A1:B21"/>
  <sheetViews>
    <sheetView zoomScale="120" zoomScaleNormal="120" workbookViewId="0">
      <selection activeCell="A8" sqref="A8"/>
    </sheetView>
  </sheetViews>
  <sheetFormatPr defaultRowHeight="15" x14ac:dyDescent="0.25"/>
  <cols>
    <col min="1" max="1" width="36.5703125" customWidth="1"/>
    <col min="2" max="2" width="15.140625" customWidth="1"/>
  </cols>
  <sheetData>
    <row r="1" spans="1:2" x14ac:dyDescent="0.25">
      <c r="A1" t="s">
        <v>4</v>
      </c>
      <c r="B1" t="s">
        <v>259</v>
      </c>
    </row>
    <row r="2" spans="1:2" x14ac:dyDescent="0.25">
      <c r="A2" t="s">
        <v>19</v>
      </c>
      <c r="B2" s="10">
        <v>2244.6</v>
      </c>
    </row>
    <row r="3" spans="1:2" x14ac:dyDescent="0.25">
      <c r="A3" t="s">
        <v>25</v>
      </c>
      <c r="B3" s="10">
        <v>42.73</v>
      </c>
    </row>
    <row r="4" spans="1:2" x14ac:dyDescent="0.25">
      <c r="A4" t="s">
        <v>13</v>
      </c>
      <c r="B4" s="10">
        <v>47.33</v>
      </c>
    </row>
    <row r="5" spans="1:2" x14ac:dyDescent="0.25">
      <c r="A5" t="s">
        <v>15</v>
      </c>
      <c r="B5" s="10">
        <v>229.41</v>
      </c>
    </row>
    <row r="6" spans="1:2" x14ac:dyDescent="0.25">
      <c r="A6" t="s">
        <v>12</v>
      </c>
      <c r="B6" s="10">
        <v>12.17</v>
      </c>
    </row>
    <row r="7" spans="1:2" x14ac:dyDescent="0.25">
      <c r="A7" t="s">
        <v>24</v>
      </c>
      <c r="B7" s="10">
        <v>54.87</v>
      </c>
    </row>
    <row r="8" spans="1:2" x14ac:dyDescent="0.25">
      <c r="A8" t="s">
        <v>216</v>
      </c>
      <c r="B8" s="10">
        <v>0.3</v>
      </c>
    </row>
    <row r="9" spans="1:2" x14ac:dyDescent="0.25">
      <c r="A9" t="s">
        <v>169</v>
      </c>
      <c r="B9" s="10">
        <v>165.78</v>
      </c>
    </row>
    <row r="10" spans="1:2" x14ac:dyDescent="0.25">
      <c r="A10" t="s">
        <v>18</v>
      </c>
      <c r="B10" s="10">
        <v>0.86</v>
      </c>
    </row>
    <row r="11" spans="1:2" x14ac:dyDescent="0.25">
      <c r="A11" t="s">
        <v>8</v>
      </c>
      <c r="B11" s="10">
        <v>6000</v>
      </c>
    </row>
    <row r="12" spans="1:2" x14ac:dyDescent="0.25">
      <c r="A12" t="s">
        <v>23</v>
      </c>
      <c r="B12" s="10">
        <v>14.13</v>
      </c>
    </row>
    <row r="13" spans="1:2" x14ac:dyDescent="0.25">
      <c r="A13" t="s">
        <v>17</v>
      </c>
      <c r="B13" s="10">
        <v>2194.37</v>
      </c>
    </row>
    <row r="14" spans="1:2" x14ac:dyDescent="0.25">
      <c r="A14" t="s">
        <v>27</v>
      </c>
      <c r="B14" s="10">
        <v>166.43</v>
      </c>
    </row>
    <row r="15" spans="1:2" x14ac:dyDescent="0.25">
      <c r="A15" t="s">
        <v>20</v>
      </c>
      <c r="B15" s="10">
        <v>640.38</v>
      </c>
    </row>
    <row r="16" spans="1:2" x14ac:dyDescent="0.25">
      <c r="A16" t="s">
        <v>21</v>
      </c>
      <c r="B16" s="10">
        <v>1427.41</v>
      </c>
    </row>
    <row r="17" spans="1:2" x14ac:dyDescent="0.25">
      <c r="A17" t="s">
        <v>11</v>
      </c>
      <c r="B17" s="10">
        <v>135.4</v>
      </c>
    </row>
    <row r="18" spans="1:2" x14ac:dyDescent="0.25">
      <c r="A18" t="s">
        <v>22</v>
      </c>
      <c r="B18" s="10">
        <v>3.46</v>
      </c>
    </row>
    <row r="19" spans="1:2" x14ac:dyDescent="0.25">
      <c r="A19" t="s">
        <v>14</v>
      </c>
      <c r="B19" s="10">
        <v>467.02</v>
      </c>
    </row>
    <row r="20" spans="1:2" x14ac:dyDescent="0.25">
      <c r="A20" t="s">
        <v>10</v>
      </c>
      <c r="B20" s="10">
        <v>22.23</v>
      </c>
    </row>
    <row r="21" spans="1:2" x14ac:dyDescent="0.25">
      <c r="A21" t="s">
        <v>26</v>
      </c>
      <c r="B21" s="10">
        <v>39.799999999999997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CE39-770E-CB46-8DB9-654F853D2108}">
  <sheetPr codeName="Sheet4"/>
  <dimension ref="A1:S39"/>
  <sheetViews>
    <sheetView topLeftCell="A2" workbookViewId="0">
      <selection activeCell="B8" sqref="B8"/>
    </sheetView>
  </sheetViews>
  <sheetFormatPr defaultColWidth="11.42578125" defaultRowHeight="15" x14ac:dyDescent="0.25"/>
  <cols>
    <col min="2" max="2" width="34.85546875" bestFit="1" customWidth="1"/>
    <col min="3" max="3" width="10" bestFit="1" customWidth="1"/>
    <col min="4" max="4" width="13.42578125" bestFit="1" customWidth="1"/>
    <col min="5" max="5" width="13" bestFit="1" customWidth="1"/>
    <col min="6" max="6" width="22.28515625" bestFit="1" customWidth="1"/>
    <col min="7" max="7" width="12.85546875" bestFit="1" customWidth="1"/>
    <col min="8" max="8" width="9.140625" bestFit="1" customWidth="1"/>
    <col min="9" max="9" width="10.140625" bestFit="1" customWidth="1"/>
    <col min="10" max="10" width="7.28515625" bestFit="1" customWidth="1"/>
    <col min="11" max="11" width="10.42578125" bestFit="1" customWidth="1"/>
    <col min="12" max="12" width="12.140625" bestFit="1" customWidth="1"/>
    <col min="13" max="13" width="13" bestFit="1" customWidth="1"/>
    <col min="14" max="14" width="14" bestFit="1" customWidth="1"/>
    <col min="15" max="15" width="12.140625" bestFit="1" customWidth="1"/>
    <col min="16" max="16" width="13.140625" bestFit="1" customWidth="1"/>
    <col min="17" max="17" width="12.7109375" bestFit="1" customWidth="1"/>
    <col min="18" max="18" width="13.7109375" bestFit="1" customWidth="1"/>
    <col min="19" max="19" width="11.42578125" bestFit="1" customWidth="1"/>
  </cols>
  <sheetData>
    <row r="1" spans="1:19" x14ac:dyDescent="0.25">
      <c r="A1" t="s">
        <v>0</v>
      </c>
      <c r="B1" t="s">
        <v>159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28</v>
      </c>
      <c r="I1" t="s">
        <v>29</v>
      </c>
      <c r="J1" t="s">
        <v>30</v>
      </c>
      <c r="K1" t="s">
        <v>31</v>
      </c>
      <c r="L1" t="s">
        <v>160</v>
      </c>
      <c r="M1" t="s">
        <v>161</v>
      </c>
      <c r="N1" t="s">
        <v>162</v>
      </c>
      <c r="O1" t="s">
        <v>163</v>
      </c>
      <c r="P1" t="s">
        <v>164</v>
      </c>
      <c r="Q1" t="s">
        <v>165</v>
      </c>
      <c r="R1" t="s">
        <v>166</v>
      </c>
      <c r="S1" t="s">
        <v>251</v>
      </c>
    </row>
    <row r="2" spans="1:19" x14ac:dyDescent="0.25">
      <c r="A2" t="s">
        <v>167</v>
      </c>
      <c r="B2" t="s">
        <v>168</v>
      </c>
      <c r="C2" t="s">
        <v>6</v>
      </c>
      <c r="D2">
        <v>2022</v>
      </c>
      <c r="E2">
        <v>8.4</v>
      </c>
      <c r="F2" t="s">
        <v>169</v>
      </c>
      <c r="G2">
        <v>3</v>
      </c>
      <c r="H2">
        <v>1</v>
      </c>
      <c r="I2">
        <v>12.5</v>
      </c>
      <c r="J2" t="s">
        <v>32</v>
      </c>
      <c r="K2" t="s">
        <v>33</v>
      </c>
      <c r="L2">
        <v>1000</v>
      </c>
      <c r="M2">
        <v>1000</v>
      </c>
      <c r="N2">
        <v>12500</v>
      </c>
      <c r="O2">
        <v>1000</v>
      </c>
      <c r="P2">
        <v>12500</v>
      </c>
      <c r="Q2">
        <v>12.5</v>
      </c>
      <c r="R2">
        <v>156.25</v>
      </c>
      <c r="S2">
        <v>143.75</v>
      </c>
    </row>
    <row r="3" spans="1:19" x14ac:dyDescent="0.25">
      <c r="A3" t="s">
        <v>170</v>
      </c>
      <c r="B3" t="s">
        <v>171</v>
      </c>
      <c r="C3" t="s">
        <v>7</v>
      </c>
      <c r="D3">
        <v>2022</v>
      </c>
      <c r="E3">
        <v>7</v>
      </c>
      <c r="F3" t="s">
        <v>8</v>
      </c>
      <c r="G3">
        <v>5</v>
      </c>
      <c r="H3">
        <v>200</v>
      </c>
      <c r="I3">
        <v>954.8</v>
      </c>
      <c r="J3" t="s">
        <v>34</v>
      </c>
      <c r="K3" t="s">
        <v>35</v>
      </c>
      <c r="L3">
        <v>1</v>
      </c>
      <c r="M3">
        <v>200</v>
      </c>
      <c r="N3">
        <v>954.8</v>
      </c>
      <c r="O3">
        <v>16000</v>
      </c>
      <c r="P3">
        <v>76384</v>
      </c>
      <c r="Q3">
        <v>200</v>
      </c>
      <c r="R3">
        <v>954.8</v>
      </c>
      <c r="S3">
        <v>754.8</v>
      </c>
    </row>
    <row r="4" spans="1:19" x14ac:dyDescent="0.25">
      <c r="A4" t="s">
        <v>172</v>
      </c>
      <c r="B4" t="s">
        <v>173</v>
      </c>
      <c r="C4" t="s">
        <v>7</v>
      </c>
      <c r="D4">
        <v>2013</v>
      </c>
      <c r="E4">
        <v>6.8</v>
      </c>
      <c r="F4" t="s">
        <v>8</v>
      </c>
      <c r="G4">
        <v>5</v>
      </c>
      <c r="H4">
        <v>165</v>
      </c>
      <c r="I4">
        <v>644.79999999999995</v>
      </c>
      <c r="J4" t="s">
        <v>34</v>
      </c>
      <c r="K4" t="s">
        <v>35</v>
      </c>
      <c r="L4">
        <v>1</v>
      </c>
      <c r="M4">
        <v>165</v>
      </c>
      <c r="N4">
        <v>644.79999999999995</v>
      </c>
      <c r="O4">
        <v>13200</v>
      </c>
      <c r="P4">
        <v>51584</v>
      </c>
      <c r="Q4">
        <v>165</v>
      </c>
      <c r="R4">
        <v>644.79999999999995</v>
      </c>
      <c r="S4">
        <v>479.8</v>
      </c>
    </row>
    <row r="5" spans="1:19" x14ac:dyDescent="0.25">
      <c r="A5" t="s">
        <v>174</v>
      </c>
      <c r="B5" t="s">
        <v>175</v>
      </c>
      <c r="C5" t="s">
        <v>7</v>
      </c>
      <c r="D5">
        <v>2017</v>
      </c>
      <c r="E5">
        <v>7.9</v>
      </c>
      <c r="F5" t="s">
        <v>8</v>
      </c>
      <c r="G5">
        <v>5</v>
      </c>
      <c r="H5">
        <v>180</v>
      </c>
      <c r="I5">
        <v>854</v>
      </c>
      <c r="J5" t="s">
        <v>34</v>
      </c>
      <c r="K5" t="s">
        <v>35</v>
      </c>
      <c r="L5">
        <v>1</v>
      </c>
      <c r="M5">
        <v>180</v>
      </c>
      <c r="N5">
        <v>854</v>
      </c>
      <c r="O5">
        <v>14400</v>
      </c>
      <c r="P5">
        <v>68320</v>
      </c>
      <c r="Q5">
        <v>180</v>
      </c>
      <c r="R5">
        <v>854</v>
      </c>
      <c r="S5">
        <v>674</v>
      </c>
    </row>
    <row r="6" spans="1:19" x14ac:dyDescent="0.25">
      <c r="A6" t="s">
        <v>176</v>
      </c>
      <c r="B6" t="s">
        <v>177</v>
      </c>
      <c r="C6" t="s">
        <v>7</v>
      </c>
      <c r="D6">
        <v>2022</v>
      </c>
      <c r="E6">
        <v>6.8</v>
      </c>
      <c r="F6" t="s">
        <v>8</v>
      </c>
      <c r="G6">
        <v>5</v>
      </c>
      <c r="H6">
        <v>250</v>
      </c>
      <c r="I6">
        <v>670</v>
      </c>
      <c r="J6" t="s">
        <v>34</v>
      </c>
      <c r="K6" t="s">
        <v>35</v>
      </c>
      <c r="L6">
        <v>1</v>
      </c>
      <c r="M6">
        <v>250</v>
      </c>
      <c r="N6">
        <v>670</v>
      </c>
      <c r="O6">
        <v>20000</v>
      </c>
      <c r="P6">
        <v>53600</v>
      </c>
      <c r="Q6">
        <v>250</v>
      </c>
      <c r="R6">
        <v>670</v>
      </c>
      <c r="S6">
        <v>420</v>
      </c>
    </row>
    <row r="7" spans="1:19" x14ac:dyDescent="0.25">
      <c r="A7" t="s">
        <v>178</v>
      </c>
      <c r="B7" t="s">
        <v>179</v>
      </c>
      <c r="C7" t="s">
        <v>6</v>
      </c>
      <c r="D7">
        <v>1995</v>
      </c>
      <c r="E7">
        <v>8</v>
      </c>
      <c r="F7" t="s">
        <v>10</v>
      </c>
      <c r="G7">
        <v>1</v>
      </c>
      <c r="H7">
        <v>400</v>
      </c>
      <c r="I7">
        <v>2000</v>
      </c>
      <c r="J7" t="s">
        <v>34</v>
      </c>
      <c r="K7" t="s">
        <v>33</v>
      </c>
      <c r="L7">
        <v>1</v>
      </c>
      <c r="M7">
        <v>400</v>
      </c>
      <c r="N7">
        <v>2000</v>
      </c>
      <c r="O7">
        <v>400</v>
      </c>
      <c r="P7">
        <v>2000</v>
      </c>
      <c r="Q7">
        <v>5</v>
      </c>
      <c r="R7">
        <v>25</v>
      </c>
      <c r="S7">
        <v>20</v>
      </c>
    </row>
    <row r="8" spans="1:19" x14ac:dyDescent="0.25">
      <c r="A8" t="s">
        <v>180</v>
      </c>
      <c r="B8" t="s">
        <v>181</v>
      </c>
      <c r="C8" t="s">
        <v>6</v>
      </c>
      <c r="D8">
        <v>2009</v>
      </c>
      <c r="E8">
        <v>8.4</v>
      </c>
      <c r="F8" t="s">
        <v>11</v>
      </c>
      <c r="G8">
        <v>1</v>
      </c>
      <c r="H8">
        <v>550</v>
      </c>
      <c r="I8">
        <v>4000</v>
      </c>
      <c r="J8" t="s">
        <v>34</v>
      </c>
      <c r="K8" t="s">
        <v>33</v>
      </c>
      <c r="L8">
        <v>1</v>
      </c>
      <c r="M8">
        <v>550</v>
      </c>
      <c r="N8">
        <v>4000</v>
      </c>
      <c r="O8">
        <v>550</v>
      </c>
      <c r="P8">
        <v>4000</v>
      </c>
      <c r="Q8">
        <v>6.875</v>
      </c>
      <c r="R8">
        <v>50</v>
      </c>
      <c r="S8">
        <v>43.125</v>
      </c>
    </row>
    <row r="9" spans="1:19" x14ac:dyDescent="0.25">
      <c r="A9" t="s">
        <v>182</v>
      </c>
      <c r="B9" t="s">
        <v>183</v>
      </c>
      <c r="C9" t="s">
        <v>6</v>
      </c>
      <c r="D9">
        <v>2001</v>
      </c>
      <c r="E9">
        <v>7.4</v>
      </c>
      <c r="F9" t="s">
        <v>12</v>
      </c>
      <c r="G9">
        <v>1</v>
      </c>
      <c r="H9">
        <v>390</v>
      </c>
      <c r="I9">
        <v>1360</v>
      </c>
      <c r="J9" t="s">
        <v>34</v>
      </c>
      <c r="K9" t="s">
        <v>33</v>
      </c>
      <c r="L9">
        <v>1</v>
      </c>
      <c r="M9">
        <v>390</v>
      </c>
      <c r="N9">
        <v>1360</v>
      </c>
      <c r="O9">
        <v>390</v>
      </c>
      <c r="P9">
        <v>1360</v>
      </c>
      <c r="Q9">
        <v>4.875</v>
      </c>
      <c r="R9">
        <v>17</v>
      </c>
      <c r="S9">
        <v>12.125</v>
      </c>
    </row>
    <row r="10" spans="1:19" x14ac:dyDescent="0.25">
      <c r="A10" t="s">
        <v>184</v>
      </c>
      <c r="B10" t="s">
        <v>185</v>
      </c>
      <c r="C10" t="s">
        <v>6</v>
      </c>
      <c r="D10">
        <v>2015</v>
      </c>
      <c r="E10">
        <v>7.2</v>
      </c>
      <c r="F10" t="s">
        <v>186</v>
      </c>
      <c r="G10">
        <v>1</v>
      </c>
      <c r="H10">
        <v>1.4</v>
      </c>
      <c r="I10">
        <v>3.5</v>
      </c>
      <c r="J10" t="s">
        <v>32</v>
      </c>
      <c r="K10" t="s">
        <v>33</v>
      </c>
      <c r="L10">
        <v>1000</v>
      </c>
      <c r="M10">
        <v>1400</v>
      </c>
      <c r="N10">
        <v>3500</v>
      </c>
      <c r="O10">
        <v>1400</v>
      </c>
      <c r="P10">
        <v>3500</v>
      </c>
      <c r="Q10">
        <v>17.5</v>
      </c>
      <c r="R10">
        <v>43.75</v>
      </c>
      <c r="S10">
        <v>26.25</v>
      </c>
    </row>
    <row r="11" spans="1:19" x14ac:dyDescent="0.25">
      <c r="A11" t="s">
        <v>187</v>
      </c>
      <c r="B11" t="s">
        <v>188</v>
      </c>
      <c r="C11" t="s">
        <v>7</v>
      </c>
      <c r="D11">
        <v>1994</v>
      </c>
      <c r="E11">
        <v>9.3000000000000007</v>
      </c>
      <c r="F11" t="s">
        <v>13</v>
      </c>
      <c r="G11">
        <v>5</v>
      </c>
      <c r="H11">
        <v>25</v>
      </c>
      <c r="I11">
        <v>73.3</v>
      </c>
      <c r="J11" t="s">
        <v>34</v>
      </c>
      <c r="K11" t="s">
        <v>35</v>
      </c>
      <c r="L11">
        <v>1</v>
      </c>
      <c r="M11">
        <v>25</v>
      </c>
      <c r="N11">
        <v>73.3</v>
      </c>
      <c r="O11">
        <v>2000</v>
      </c>
      <c r="P11">
        <v>5864</v>
      </c>
      <c r="Q11">
        <v>25</v>
      </c>
      <c r="R11">
        <v>73.3</v>
      </c>
      <c r="S11">
        <v>48.3</v>
      </c>
    </row>
    <row r="12" spans="1:19" x14ac:dyDescent="0.25">
      <c r="A12" t="s">
        <v>189</v>
      </c>
      <c r="B12" t="s">
        <v>190</v>
      </c>
      <c r="C12" t="s">
        <v>7</v>
      </c>
      <c r="D12">
        <v>2014</v>
      </c>
      <c r="E12">
        <v>8.6</v>
      </c>
      <c r="F12" t="s">
        <v>14</v>
      </c>
      <c r="G12">
        <v>5</v>
      </c>
      <c r="H12">
        <v>165</v>
      </c>
      <c r="I12">
        <v>701.8</v>
      </c>
      <c r="J12" t="s">
        <v>34</v>
      </c>
      <c r="K12" t="s">
        <v>35</v>
      </c>
      <c r="L12">
        <v>1</v>
      </c>
      <c r="M12">
        <v>165</v>
      </c>
      <c r="N12">
        <v>701.8</v>
      </c>
      <c r="O12">
        <v>13200</v>
      </c>
      <c r="P12">
        <v>56144</v>
      </c>
      <c r="Q12">
        <v>165</v>
      </c>
      <c r="R12">
        <v>701.8</v>
      </c>
      <c r="S12">
        <v>536.79999999999995</v>
      </c>
    </row>
    <row r="13" spans="1:19" x14ac:dyDescent="0.25">
      <c r="A13" t="s">
        <v>191</v>
      </c>
      <c r="B13" t="s">
        <v>192</v>
      </c>
      <c r="C13" t="s">
        <v>7</v>
      </c>
      <c r="D13">
        <v>2006</v>
      </c>
      <c r="E13">
        <v>8</v>
      </c>
      <c r="F13" t="s">
        <v>15</v>
      </c>
      <c r="G13">
        <v>5</v>
      </c>
      <c r="H13">
        <v>55</v>
      </c>
      <c r="I13">
        <v>307.10000000000002</v>
      </c>
      <c r="J13" t="s">
        <v>34</v>
      </c>
      <c r="K13" t="s">
        <v>35</v>
      </c>
      <c r="L13">
        <v>1</v>
      </c>
      <c r="M13">
        <v>55</v>
      </c>
      <c r="N13">
        <v>307.10000000000002</v>
      </c>
      <c r="O13">
        <v>4400</v>
      </c>
      <c r="P13">
        <v>24568</v>
      </c>
      <c r="Q13">
        <v>55</v>
      </c>
      <c r="R13">
        <v>307.10000000000002</v>
      </c>
      <c r="S13">
        <v>252.1</v>
      </c>
    </row>
    <row r="14" spans="1:19" x14ac:dyDescent="0.25">
      <c r="A14" t="s">
        <v>193</v>
      </c>
      <c r="B14" t="s">
        <v>194</v>
      </c>
      <c r="C14" t="s">
        <v>7</v>
      </c>
      <c r="D14">
        <v>2000</v>
      </c>
      <c r="E14">
        <v>8.5</v>
      </c>
      <c r="F14" t="s">
        <v>21</v>
      </c>
      <c r="G14">
        <v>5</v>
      </c>
      <c r="H14">
        <v>103</v>
      </c>
      <c r="I14">
        <v>460.5</v>
      </c>
      <c r="J14" t="s">
        <v>34</v>
      </c>
      <c r="K14" t="s">
        <v>35</v>
      </c>
      <c r="L14">
        <v>1</v>
      </c>
      <c r="M14">
        <v>103</v>
      </c>
      <c r="N14">
        <v>460.5</v>
      </c>
      <c r="O14">
        <v>8240</v>
      </c>
      <c r="P14">
        <v>36840</v>
      </c>
      <c r="Q14">
        <v>103</v>
      </c>
      <c r="R14">
        <v>460.5</v>
      </c>
      <c r="S14">
        <v>357.5</v>
      </c>
    </row>
    <row r="15" spans="1:19" x14ac:dyDescent="0.25">
      <c r="A15" t="s">
        <v>195</v>
      </c>
      <c r="B15" t="s">
        <v>196</v>
      </c>
      <c r="C15" t="s">
        <v>7</v>
      </c>
      <c r="D15">
        <v>1997</v>
      </c>
      <c r="E15">
        <v>7.9</v>
      </c>
      <c r="F15" t="s">
        <v>17</v>
      </c>
      <c r="G15">
        <v>5</v>
      </c>
      <c r="H15">
        <v>200</v>
      </c>
      <c r="I15">
        <v>2202</v>
      </c>
      <c r="J15" t="s">
        <v>34</v>
      </c>
      <c r="K15" t="s">
        <v>35</v>
      </c>
      <c r="L15">
        <v>1</v>
      </c>
      <c r="M15">
        <v>200</v>
      </c>
      <c r="N15">
        <v>2202</v>
      </c>
      <c r="O15">
        <v>16000</v>
      </c>
      <c r="P15">
        <v>176160</v>
      </c>
      <c r="Q15">
        <v>200</v>
      </c>
      <c r="R15">
        <v>2202</v>
      </c>
      <c r="S15">
        <v>2002</v>
      </c>
    </row>
    <row r="16" spans="1:19" x14ac:dyDescent="0.25">
      <c r="A16" t="s">
        <v>197</v>
      </c>
      <c r="B16" t="s">
        <v>198</v>
      </c>
      <c r="C16" t="s">
        <v>7</v>
      </c>
      <c r="D16">
        <v>1946</v>
      </c>
      <c r="E16">
        <v>8.6</v>
      </c>
      <c r="F16" t="s">
        <v>18</v>
      </c>
      <c r="G16">
        <v>5</v>
      </c>
      <c r="H16">
        <v>3.18</v>
      </c>
      <c r="I16">
        <v>3.3</v>
      </c>
      <c r="J16" t="s">
        <v>34</v>
      </c>
      <c r="K16" t="s">
        <v>35</v>
      </c>
      <c r="L16">
        <v>1</v>
      </c>
      <c r="M16">
        <v>3.18</v>
      </c>
      <c r="N16">
        <v>3.3</v>
      </c>
      <c r="O16">
        <v>254.4</v>
      </c>
      <c r="P16">
        <v>264</v>
      </c>
      <c r="Q16">
        <v>3.18</v>
      </c>
      <c r="R16">
        <v>3.3</v>
      </c>
      <c r="S16">
        <v>0.12</v>
      </c>
    </row>
    <row r="17" spans="1:19" x14ac:dyDescent="0.25">
      <c r="A17" t="s">
        <v>199</v>
      </c>
      <c r="B17" t="s">
        <v>200</v>
      </c>
      <c r="C17" t="s">
        <v>7</v>
      </c>
      <c r="D17">
        <v>2009</v>
      </c>
      <c r="E17">
        <v>7.8</v>
      </c>
      <c r="F17" t="s">
        <v>19</v>
      </c>
      <c r="G17">
        <v>5</v>
      </c>
      <c r="H17">
        <v>237</v>
      </c>
      <c r="I17">
        <v>2847</v>
      </c>
      <c r="J17" t="s">
        <v>34</v>
      </c>
      <c r="K17" t="s">
        <v>35</v>
      </c>
      <c r="L17">
        <v>1</v>
      </c>
      <c r="M17">
        <v>237</v>
      </c>
      <c r="N17">
        <v>2847</v>
      </c>
      <c r="O17">
        <v>18960</v>
      </c>
      <c r="P17">
        <v>227760</v>
      </c>
      <c r="Q17">
        <v>237</v>
      </c>
      <c r="R17">
        <v>2847</v>
      </c>
      <c r="S17">
        <v>2610</v>
      </c>
    </row>
    <row r="18" spans="1:19" x14ac:dyDescent="0.25">
      <c r="A18" t="s">
        <v>201</v>
      </c>
      <c r="B18" t="s">
        <v>202</v>
      </c>
      <c r="C18" t="s">
        <v>7</v>
      </c>
      <c r="D18">
        <v>1972</v>
      </c>
      <c r="E18">
        <v>9.1999999999999993</v>
      </c>
      <c r="F18" t="s">
        <v>17</v>
      </c>
      <c r="G18">
        <v>5</v>
      </c>
      <c r="H18">
        <v>7.2</v>
      </c>
      <c r="I18">
        <v>291</v>
      </c>
      <c r="J18" t="s">
        <v>34</v>
      </c>
      <c r="K18" t="s">
        <v>35</v>
      </c>
      <c r="L18">
        <v>1</v>
      </c>
      <c r="M18">
        <v>7.2</v>
      </c>
      <c r="N18">
        <v>291</v>
      </c>
      <c r="O18">
        <v>576</v>
      </c>
      <c r="P18">
        <v>23280</v>
      </c>
      <c r="Q18">
        <v>7.2</v>
      </c>
      <c r="R18">
        <v>291</v>
      </c>
      <c r="S18">
        <v>283.8</v>
      </c>
    </row>
    <row r="19" spans="1:19" x14ac:dyDescent="0.25">
      <c r="A19" t="s">
        <v>203</v>
      </c>
      <c r="B19" t="s">
        <v>204</v>
      </c>
      <c r="C19" t="s">
        <v>7</v>
      </c>
      <c r="D19">
        <v>2008</v>
      </c>
      <c r="E19">
        <v>9</v>
      </c>
      <c r="F19" t="s">
        <v>20</v>
      </c>
      <c r="G19">
        <v>5</v>
      </c>
      <c r="H19">
        <v>185</v>
      </c>
      <c r="I19">
        <v>1006</v>
      </c>
      <c r="J19" t="s">
        <v>34</v>
      </c>
      <c r="K19" t="s">
        <v>35</v>
      </c>
      <c r="L19">
        <v>1</v>
      </c>
      <c r="M19">
        <v>185</v>
      </c>
      <c r="N19">
        <v>1006</v>
      </c>
      <c r="O19">
        <v>14800</v>
      </c>
      <c r="P19">
        <v>80480</v>
      </c>
      <c r="Q19">
        <v>185</v>
      </c>
      <c r="R19">
        <v>1006</v>
      </c>
      <c r="S19">
        <v>821</v>
      </c>
    </row>
    <row r="20" spans="1:19" x14ac:dyDescent="0.25">
      <c r="A20" t="s">
        <v>205</v>
      </c>
      <c r="B20" t="s">
        <v>206</v>
      </c>
      <c r="C20" t="s">
        <v>7</v>
      </c>
      <c r="D20">
        <v>1993</v>
      </c>
      <c r="E20">
        <v>9</v>
      </c>
      <c r="F20" t="s">
        <v>21</v>
      </c>
      <c r="G20">
        <v>5</v>
      </c>
      <c r="H20">
        <v>22</v>
      </c>
      <c r="I20">
        <v>322.2</v>
      </c>
      <c r="J20" t="s">
        <v>34</v>
      </c>
      <c r="K20" t="s">
        <v>35</v>
      </c>
      <c r="L20">
        <v>1</v>
      </c>
      <c r="M20">
        <v>22</v>
      </c>
      <c r="N20">
        <v>322.2</v>
      </c>
      <c r="O20">
        <v>1760</v>
      </c>
      <c r="P20">
        <v>25776</v>
      </c>
      <c r="Q20">
        <v>22</v>
      </c>
      <c r="R20">
        <v>322.2</v>
      </c>
      <c r="S20">
        <v>300.2</v>
      </c>
    </row>
    <row r="21" spans="1:19" x14ac:dyDescent="0.25">
      <c r="A21" t="s">
        <v>207</v>
      </c>
      <c r="B21" t="s">
        <v>208</v>
      </c>
      <c r="C21" t="s">
        <v>7</v>
      </c>
      <c r="D21">
        <v>1993</v>
      </c>
      <c r="E21">
        <v>8.1999999999999993</v>
      </c>
      <c r="F21" t="s">
        <v>21</v>
      </c>
      <c r="G21">
        <v>5</v>
      </c>
      <c r="H21">
        <v>63</v>
      </c>
      <c r="I21">
        <v>1046</v>
      </c>
      <c r="J21" t="s">
        <v>34</v>
      </c>
      <c r="K21" t="s">
        <v>35</v>
      </c>
      <c r="L21">
        <v>1</v>
      </c>
      <c r="M21">
        <v>63</v>
      </c>
      <c r="N21">
        <v>1046</v>
      </c>
      <c r="O21">
        <v>5040</v>
      </c>
      <c r="P21">
        <v>83680</v>
      </c>
      <c r="Q21">
        <v>63</v>
      </c>
      <c r="R21">
        <v>1046</v>
      </c>
      <c r="S21">
        <v>983</v>
      </c>
    </row>
    <row r="22" spans="1:19" x14ac:dyDescent="0.25">
      <c r="A22" t="s">
        <v>209</v>
      </c>
      <c r="B22" t="s">
        <v>210</v>
      </c>
      <c r="C22" t="s">
        <v>7</v>
      </c>
      <c r="D22">
        <v>2019</v>
      </c>
      <c r="E22">
        <v>8.5</v>
      </c>
      <c r="F22" t="s">
        <v>186</v>
      </c>
      <c r="G22">
        <v>5</v>
      </c>
      <c r="H22">
        <v>15.5</v>
      </c>
      <c r="I22">
        <v>263.10000000000002</v>
      </c>
      <c r="J22" t="s">
        <v>34</v>
      </c>
      <c r="K22" t="s">
        <v>35</v>
      </c>
      <c r="L22">
        <v>1</v>
      </c>
      <c r="M22">
        <v>15.5</v>
      </c>
      <c r="N22">
        <v>263.10000000000002</v>
      </c>
      <c r="O22">
        <v>1240</v>
      </c>
      <c r="P22">
        <v>21048</v>
      </c>
      <c r="Q22">
        <v>15.5</v>
      </c>
      <c r="R22">
        <v>263.10000000000002</v>
      </c>
      <c r="S22">
        <v>247.6</v>
      </c>
    </row>
    <row r="23" spans="1:19" x14ac:dyDescent="0.25">
      <c r="A23" t="s">
        <v>211</v>
      </c>
      <c r="B23" t="s">
        <v>212</v>
      </c>
      <c r="C23" t="s">
        <v>7</v>
      </c>
      <c r="D23">
        <v>2019</v>
      </c>
      <c r="E23">
        <v>8.4</v>
      </c>
      <c r="F23" t="s">
        <v>8</v>
      </c>
      <c r="G23">
        <v>5</v>
      </c>
      <c r="H23">
        <v>400</v>
      </c>
      <c r="I23">
        <v>2798</v>
      </c>
      <c r="J23" t="s">
        <v>34</v>
      </c>
      <c r="K23" t="s">
        <v>35</v>
      </c>
      <c r="L23">
        <v>1</v>
      </c>
      <c r="M23">
        <v>400</v>
      </c>
      <c r="N23">
        <v>2798</v>
      </c>
      <c r="O23">
        <v>32000</v>
      </c>
      <c r="P23">
        <v>223840</v>
      </c>
      <c r="Q23">
        <v>400</v>
      </c>
      <c r="R23">
        <v>2798</v>
      </c>
      <c r="S23">
        <v>2398</v>
      </c>
    </row>
    <row r="24" spans="1:19" x14ac:dyDescent="0.25">
      <c r="A24" t="s">
        <v>213</v>
      </c>
      <c r="B24" t="s">
        <v>214</v>
      </c>
      <c r="C24" t="s">
        <v>7</v>
      </c>
      <c r="D24">
        <v>2018</v>
      </c>
      <c r="E24">
        <v>8.4</v>
      </c>
      <c r="F24" t="s">
        <v>8</v>
      </c>
      <c r="G24">
        <v>5</v>
      </c>
      <c r="H24">
        <v>400</v>
      </c>
      <c r="I24">
        <v>2048</v>
      </c>
      <c r="J24" t="s">
        <v>34</v>
      </c>
      <c r="K24" t="s">
        <v>35</v>
      </c>
      <c r="L24">
        <v>1</v>
      </c>
      <c r="M24">
        <v>400</v>
      </c>
      <c r="N24">
        <v>2048</v>
      </c>
      <c r="O24">
        <v>32000</v>
      </c>
      <c r="P24">
        <v>163840</v>
      </c>
      <c r="Q24">
        <v>400</v>
      </c>
      <c r="R24">
        <v>2048</v>
      </c>
      <c r="S24">
        <v>1648</v>
      </c>
    </row>
    <row r="25" spans="1:19" x14ac:dyDescent="0.25">
      <c r="A25" t="s">
        <v>217</v>
      </c>
      <c r="B25" t="s">
        <v>218</v>
      </c>
      <c r="C25" t="s">
        <v>6</v>
      </c>
      <c r="D25">
        <v>2007</v>
      </c>
      <c r="E25">
        <v>8.3000000000000007</v>
      </c>
      <c r="F25" t="s">
        <v>186</v>
      </c>
      <c r="G25">
        <v>1</v>
      </c>
      <c r="H25">
        <v>120</v>
      </c>
      <c r="I25">
        <v>1350</v>
      </c>
      <c r="J25" t="s">
        <v>34</v>
      </c>
      <c r="K25" t="s">
        <v>33</v>
      </c>
      <c r="L25">
        <v>1</v>
      </c>
      <c r="M25">
        <v>120</v>
      </c>
      <c r="N25">
        <v>1350</v>
      </c>
      <c r="O25">
        <v>120</v>
      </c>
      <c r="P25">
        <v>1350</v>
      </c>
      <c r="Q25">
        <v>1.5</v>
      </c>
      <c r="R25">
        <v>16.875</v>
      </c>
      <c r="S25">
        <v>15.375</v>
      </c>
    </row>
    <row r="26" spans="1:19" x14ac:dyDescent="0.25">
      <c r="A26" t="s">
        <v>219</v>
      </c>
      <c r="B26" t="s">
        <v>220</v>
      </c>
      <c r="C26" t="s">
        <v>6</v>
      </c>
      <c r="D26">
        <v>2003</v>
      </c>
      <c r="E26">
        <v>8.1</v>
      </c>
      <c r="F26" t="s">
        <v>22</v>
      </c>
      <c r="G26">
        <v>1</v>
      </c>
      <c r="H26">
        <v>100</v>
      </c>
      <c r="I26">
        <v>410</v>
      </c>
      <c r="J26" t="s">
        <v>34</v>
      </c>
      <c r="K26" t="s">
        <v>33</v>
      </c>
      <c r="L26">
        <v>1</v>
      </c>
      <c r="M26">
        <v>100</v>
      </c>
      <c r="N26">
        <v>410</v>
      </c>
      <c r="O26">
        <v>100</v>
      </c>
      <c r="P26">
        <v>410</v>
      </c>
      <c r="Q26">
        <v>1.25</v>
      </c>
      <c r="R26">
        <v>5.125</v>
      </c>
      <c r="S26">
        <v>3.875</v>
      </c>
    </row>
    <row r="27" spans="1:19" x14ac:dyDescent="0.25">
      <c r="A27" t="s">
        <v>221</v>
      </c>
      <c r="B27" t="s">
        <v>222</v>
      </c>
      <c r="C27" t="s">
        <v>6</v>
      </c>
      <c r="D27">
        <v>2014</v>
      </c>
      <c r="E27">
        <v>8.1</v>
      </c>
      <c r="F27" t="s">
        <v>11</v>
      </c>
      <c r="G27">
        <v>1</v>
      </c>
      <c r="H27">
        <v>850</v>
      </c>
      <c r="I27">
        <v>8540</v>
      </c>
      <c r="J27" t="s">
        <v>34</v>
      </c>
      <c r="K27" t="s">
        <v>33</v>
      </c>
      <c r="L27">
        <v>1</v>
      </c>
      <c r="M27">
        <v>850</v>
      </c>
      <c r="N27">
        <v>8540</v>
      </c>
      <c r="O27">
        <v>850</v>
      </c>
      <c r="P27">
        <v>8540</v>
      </c>
      <c r="Q27">
        <v>10.625</v>
      </c>
      <c r="R27">
        <v>106.75</v>
      </c>
      <c r="S27">
        <v>96.125</v>
      </c>
    </row>
    <row r="28" spans="1:19" x14ac:dyDescent="0.25">
      <c r="A28" t="s">
        <v>223</v>
      </c>
      <c r="B28" t="s">
        <v>224</v>
      </c>
      <c r="C28" t="s">
        <v>6</v>
      </c>
      <c r="D28">
        <v>2018</v>
      </c>
      <c r="F28" t="s">
        <v>11</v>
      </c>
      <c r="G28">
        <v>1</v>
      </c>
      <c r="H28">
        <v>1</v>
      </c>
      <c r="I28">
        <v>5.9</v>
      </c>
      <c r="J28" t="s">
        <v>32</v>
      </c>
      <c r="K28" t="s">
        <v>33</v>
      </c>
      <c r="L28">
        <v>1000</v>
      </c>
      <c r="M28">
        <v>1000</v>
      </c>
      <c r="N28">
        <v>5900</v>
      </c>
      <c r="O28">
        <v>1000</v>
      </c>
      <c r="P28">
        <v>5900</v>
      </c>
      <c r="Q28">
        <v>12.5</v>
      </c>
      <c r="R28">
        <v>73.75</v>
      </c>
      <c r="S28">
        <v>61.25</v>
      </c>
    </row>
    <row r="29" spans="1:19" x14ac:dyDescent="0.25">
      <c r="A29" t="s">
        <v>225</v>
      </c>
      <c r="B29" t="s">
        <v>226</v>
      </c>
      <c r="C29" t="s">
        <v>6</v>
      </c>
      <c r="D29">
        <v>2021</v>
      </c>
      <c r="E29">
        <v>7.6</v>
      </c>
      <c r="F29" t="s">
        <v>23</v>
      </c>
      <c r="G29">
        <v>2</v>
      </c>
      <c r="H29">
        <v>2</v>
      </c>
      <c r="I29">
        <v>3.6</v>
      </c>
      <c r="J29" t="s">
        <v>32</v>
      </c>
      <c r="K29" t="s">
        <v>33</v>
      </c>
      <c r="L29">
        <v>1000</v>
      </c>
      <c r="M29">
        <v>2000</v>
      </c>
      <c r="N29">
        <v>3600</v>
      </c>
      <c r="O29">
        <v>2000</v>
      </c>
      <c r="P29">
        <v>3600</v>
      </c>
      <c r="Q29">
        <v>25</v>
      </c>
      <c r="R29">
        <v>45</v>
      </c>
      <c r="S29">
        <v>20</v>
      </c>
    </row>
    <row r="30" spans="1:19" x14ac:dyDescent="0.25">
      <c r="A30" t="s">
        <v>227</v>
      </c>
      <c r="B30" t="s">
        <v>228</v>
      </c>
      <c r="C30" t="s">
        <v>6</v>
      </c>
      <c r="D30">
        <v>2022</v>
      </c>
      <c r="E30">
        <v>8</v>
      </c>
      <c r="F30" t="s">
        <v>24</v>
      </c>
      <c r="G30">
        <v>2</v>
      </c>
      <c r="H30">
        <v>5.5</v>
      </c>
      <c r="I30">
        <v>12</v>
      </c>
      <c r="J30" t="s">
        <v>32</v>
      </c>
      <c r="K30" t="s">
        <v>33</v>
      </c>
      <c r="L30">
        <v>1000</v>
      </c>
      <c r="M30">
        <v>5500</v>
      </c>
      <c r="N30">
        <v>12000</v>
      </c>
      <c r="O30">
        <v>5500</v>
      </c>
      <c r="P30">
        <v>12000</v>
      </c>
      <c r="Q30">
        <v>68.75</v>
      </c>
      <c r="R30">
        <v>150</v>
      </c>
      <c r="S30">
        <v>81.25</v>
      </c>
    </row>
    <row r="31" spans="1:19" x14ac:dyDescent="0.25">
      <c r="A31" t="s">
        <v>229</v>
      </c>
      <c r="B31" t="s">
        <v>230</v>
      </c>
      <c r="C31" t="s">
        <v>6</v>
      </c>
      <c r="D31">
        <v>2015</v>
      </c>
      <c r="E31">
        <v>8</v>
      </c>
      <c r="F31" t="s">
        <v>25</v>
      </c>
      <c r="G31">
        <v>2</v>
      </c>
      <c r="H31">
        <v>1.8</v>
      </c>
      <c r="I31">
        <v>6.5</v>
      </c>
      <c r="J31" t="s">
        <v>32</v>
      </c>
      <c r="K31" t="s">
        <v>33</v>
      </c>
      <c r="L31">
        <v>1000</v>
      </c>
      <c r="M31">
        <v>1800</v>
      </c>
      <c r="N31">
        <v>6500</v>
      </c>
      <c r="O31">
        <v>1800</v>
      </c>
      <c r="P31">
        <v>6500</v>
      </c>
      <c r="Q31">
        <v>22.5</v>
      </c>
      <c r="R31">
        <v>81.25</v>
      </c>
      <c r="S31">
        <v>58.75</v>
      </c>
    </row>
    <row r="32" spans="1:19" x14ac:dyDescent="0.25">
      <c r="A32" t="s">
        <v>231</v>
      </c>
      <c r="B32" t="s">
        <v>232</v>
      </c>
      <c r="C32" t="s">
        <v>6</v>
      </c>
      <c r="D32">
        <v>2022</v>
      </c>
      <c r="E32">
        <v>8.3000000000000007</v>
      </c>
      <c r="F32" t="s">
        <v>26</v>
      </c>
      <c r="G32">
        <v>1</v>
      </c>
      <c r="H32">
        <v>250</v>
      </c>
      <c r="I32">
        <v>3409</v>
      </c>
      <c r="J32" t="s">
        <v>34</v>
      </c>
      <c r="K32" t="s">
        <v>33</v>
      </c>
      <c r="L32">
        <v>1</v>
      </c>
      <c r="M32">
        <v>250</v>
      </c>
      <c r="N32">
        <v>3409</v>
      </c>
      <c r="O32">
        <v>250</v>
      </c>
      <c r="P32">
        <v>3409</v>
      </c>
      <c r="Q32">
        <v>3.125</v>
      </c>
      <c r="R32">
        <v>42.612499999999997</v>
      </c>
      <c r="S32">
        <v>39.487499999999997</v>
      </c>
    </row>
    <row r="33" spans="1:19" x14ac:dyDescent="0.25">
      <c r="A33" t="s">
        <v>233</v>
      </c>
      <c r="B33" t="s">
        <v>234</v>
      </c>
      <c r="C33" t="s">
        <v>6</v>
      </c>
      <c r="D33">
        <v>2015</v>
      </c>
      <c r="E33">
        <v>8.1</v>
      </c>
      <c r="F33" t="s">
        <v>27</v>
      </c>
      <c r="G33">
        <v>1</v>
      </c>
      <c r="H33">
        <v>900</v>
      </c>
      <c r="I33">
        <v>11690</v>
      </c>
      <c r="J33" t="s">
        <v>34</v>
      </c>
      <c r="K33" t="s">
        <v>33</v>
      </c>
      <c r="L33">
        <v>1</v>
      </c>
      <c r="M33">
        <v>900</v>
      </c>
      <c r="N33">
        <v>11690</v>
      </c>
      <c r="O33">
        <v>900</v>
      </c>
      <c r="P33">
        <v>11690</v>
      </c>
      <c r="Q33">
        <v>11.25</v>
      </c>
      <c r="R33">
        <v>146.125</v>
      </c>
      <c r="S33">
        <v>134.875</v>
      </c>
    </row>
    <row r="34" spans="1:19" x14ac:dyDescent="0.25">
      <c r="A34" t="s">
        <v>235</v>
      </c>
      <c r="B34" t="s">
        <v>236</v>
      </c>
      <c r="C34" t="s">
        <v>7</v>
      </c>
      <c r="D34">
        <v>2011</v>
      </c>
      <c r="E34">
        <v>6.9</v>
      </c>
      <c r="F34" t="s">
        <v>8</v>
      </c>
      <c r="G34">
        <v>5</v>
      </c>
      <c r="H34">
        <v>216.7</v>
      </c>
      <c r="I34">
        <v>370.6</v>
      </c>
      <c r="J34" t="s">
        <v>34</v>
      </c>
      <c r="K34" t="s">
        <v>35</v>
      </c>
      <c r="L34">
        <v>1</v>
      </c>
      <c r="M34">
        <v>216.7</v>
      </c>
      <c r="N34">
        <v>370.6</v>
      </c>
      <c r="O34">
        <v>17336</v>
      </c>
      <c r="P34">
        <v>29648</v>
      </c>
      <c r="Q34">
        <v>216.7</v>
      </c>
      <c r="R34">
        <v>370.6</v>
      </c>
      <c r="S34">
        <v>153.9</v>
      </c>
    </row>
    <row r="35" spans="1:19" x14ac:dyDescent="0.25">
      <c r="A35" t="s">
        <v>237</v>
      </c>
      <c r="B35" t="s">
        <v>238</v>
      </c>
      <c r="C35" t="s">
        <v>7</v>
      </c>
      <c r="D35">
        <v>2014</v>
      </c>
      <c r="E35">
        <v>7.8</v>
      </c>
      <c r="F35" t="s">
        <v>8</v>
      </c>
      <c r="G35">
        <v>5</v>
      </c>
      <c r="H35">
        <v>177</v>
      </c>
      <c r="I35">
        <v>714.4</v>
      </c>
      <c r="J35" t="s">
        <v>34</v>
      </c>
      <c r="K35" t="s">
        <v>35</v>
      </c>
      <c r="L35">
        <v>1</v>
      </c>
      <c r="M35">
        <v>177</v>
      </c>
      <c r="N35">
        <v>714.4</v>
      </c>
      <c r="O35">
        <v>14160</v>
      </c>
      <c r="P35">
        <v>57152</v>
      </c>
      <c r="Q35">
        <v>177</v>
      </c>
      <c r="R35">
        <v>714.4</v>
      </c>
      <c r="S35">
        <v>537.4</v>
      </c>
    </row>
    <row r="36" spans="1:19" x14ac:dyDescent="0.25">
      <c r="A36" t="s">
        <v>239</v>
      </c>
      <c r="B36" t="s">
        <v>240</v>
      </c>
      <c r="C36" t="s">
        <v>6</v>
      </c>
      <c r="D36">
        <v>2018</v>
      </c>
      <c r="E36">
        <v>1.9</v>
      </c>
      <c r="F36" t="s">
        <v>27</v>
      </c>
      <c r="G36">
        <v>1</v>
      </c>
      <c r="H36">
        <v>1.8</v>
      </c>
      <c r="I36">
        <v>3.1</v>
      </c>
      <c r="J36" t="s">
        <v>32</v>
      </c>
      <c r="K36" t="s">
        <v>33</v>
      </c>
      <c r="L36">
        <v>1000</v>
      </c>
      <c r="M36">
        <v>1800</v>
      </c>
      <c r="N36">
        <v>3100</v>
      </c>
      <c r="O36">
        <v>1800</v>
      </c>
      <c r="P36">
        <v>3100</v>
      </c>
      <c r="Q36">
        <v>22.5</v>
      </c>
      <c r="R36">
        <v>38.75</v>
      </c>
      <c r="S36">
        <v>16.25</v>
      </c>
    </row>
    <row r="37" spans="1:19" x14ac:dyDescent="0.25">
      <c r="A37" t="s">
        <v>241</v>
      </c>
      <c r="B37" t="s">
        <v>242</v>
      </c>
      <c r="C37" t="s">
        <v>6</v>
      </c>
      <c r="D37">
        <v>2021</v>
      </c>
      <c r="E37">
        <v>8.4</v>
      </c>
      <c r="F37" t="s">
        <v>12</v>
      </c>
      <c r="G37">
        <v>1</v>
      </c>
      <c r="H37">
        <v>500</v>
      </c>
      <c r="I37">
        <v>950</v>
      </c>
      <c r="J37" t="s">
        <v>34</v>
      </c>
      <c r="K37" t="s">
        <v>33</v>
      </c>
      <c r="L37">
        <v>1</v>
      </c>
      <c r="M37">
        <v>500</v>
      </c>
      <c r="N37">
        <v>950</v>
      </c>
      <c r="O37">
        <v>500</v>
      </c>
      <c r="P37">
        <v>950</v>
      </c>
      <c r="Q37">
        <v>6.25</v>
      </c>
      <c r="R37">
        <v>11.875</v>
      </c>
      <c r="S37">
        <v>5.625</v>
      </c>
    </row>
    <row r="38" spans="1:19" x14ac:dyDescent="0.25">
      <c r="A38" t="s">
        <v>243</v>
      </c>
      <c r="B38" t="s">
        <v>244</v>
      </c>
      <c r="C38" t="s">
        <v>6</v>
      </c>
      <c r="D38">
        <v>1975</v>
      </c>
      <c r="E38">
        <v>8.1</v>
      </c>
      <c r="F38" t="s">
        <v>9</v>
      </c>
      <c r="G38">
        <v>1</v>
      </c>
      <c r="L38">
        <v>1</v>
      </c>
    </row>
    <row r="39" spans="1:19" x14ac:dyDescent="0.25">
      <c r="A39" t="s">
        <v>245</v>
      </c>
      <c r="B39" t="s">
        <v>246</v>
      </c>
      <c r="C39" t="s">
        <v>7</v>
      </c>
      <c r="D39">
        <v>2010</v>
      </c>
      <c r="E39">
        <v>8.8000000000000007</v>
      </c>
      <c r="F39" t="s">
        <v>14</v>
      </c>
      <c r="G39">
        <v>5</v>
      </c>
      <c r="L39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G41"/>
  <sheetViews>
    <sheetView topLeftCell="A12" zoomScale="112" zoomScaleNormal="175" workbookViewId="0">
      <selection activeCell="A25" sqref="A25"/>
    </sheetView>
  </sheetViews>
  <sheetFormatPr defaultColWidth="8.85546875" defaultRowHeight="15" x14ac:dyDescent="0.25"/>
  <cols>
    <col min="1" max="1" width="44.85546875" bestFit="1" customWidth="1"/>
    <col min="2" max="2" width="10.42578125" bestFit="1" customWidth="1"/>
    <col min="3" max="3" width="14.7109375" customWidth="1"/>
    <col min="4" max="4" width="12.42578125" customWidth="1"/>
    <col min="5" max="5" width="26.42578125" bestFit="1" customWidth="1"/>
    <col min="6" max="6" width="12.42578125" customWidth="1"/>
    <col min="7" max="7" width="14.140625" customWidth="1"/>
  </cols>
  <sheetData>
    <row r="1" spans="1:7" x14ac:dyDescent="0.25">
      <c r="A1" s="1" t="s">
        <v>115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158</v>
      </c>
    </row>
    <row r="2" spans="1:7" x14ac:dyDescent="0.25">
      <c r="A2" t="s">
        <v>120</v>
      </c>
      <c r="B2" t="s">
        <v>6</v>
      </c>
      <c r="C2">
        <v>2022</v>
      </c>
      <c r="D2">
        <v>8.4</v>
      </c>
      <c r="E2" t="s">
        <v>116</v>
      </c>
      <c r="F2">
        <v>3</v>
      </c>
    </row>
    <row r="3" spans="1:7" x14ac:dyDescent="0.25">
      <c r="A3" t="s">
        <v>121</v>
      </c>
      <c r="B3" t="s">
        <v>7</v>
      </c>
      <c r="C3">
        <v>2022</v>
      </c>
      <c r="D3">
        <v>7</v>
      </c>
      <c r="E3" t="s">
        <v>8</v>
      </c>
      <c r="F3">
        <v>5</v>
      </c>
    </row>
    <row r="4" spans="1:7" x14ac:dyDescent="0.25">
      <c r="A4" t="s">
        <v>122</v>
      </c>
      <c r="B4" t="s">
        <v>7</v>
      </c>
      <c r="C4">
        <v>2013</v>
      </c>
      <c r="D4">
        <v>6.8</v>
      </c>
      <c r="E4" t="s">
        <v>8</v>
      </c>
      <c r="F4">
        <v>5</v>
      </c>
    </row>
    <row r="5" spans="1:7" x14ac:dyDescent="0.25">
      <c r="A5" t="s">
        <v>123</v>
      </c>
      <c r="B5" t="s">
        <v>7</v>
      </c>
      <c r="C5">
        <v>2017</v>
      </c>
      <c r="D5">
        <v>7.9</v>
      </c>
      <c r="E5" t="s">
        <v>118</v>
      </c>
      <c r="F5">
        <v>5</v>
      </c>
    </row>
    <row r="6" spans="1:7" x14ac:dyDescent="0.25">
      <c r="A6" t="s">
        <v>124</v>
      </c>
      <c r="B6" t="s">
        <v>7</v>
      </c>
      <c r="C6">
        <v>2022</v>
      </c>
      <c r="D6">
        <v>6.8</v>
      </c>
      <c r="E6" t="s">
        <v>8</v>
      </c>
      <c r="F6">
        <v>5</v>
      </c>
    </row>
    <row r="7" spans="1:7" x14ac:dyDescent="0.25">
      <c r="A7" t="s">
        <v>125</v>
      </c>
      <c r="B7" t="s">
        <v>6</v>
      </c>
      <c r="C7">
        <v>1975</v>
      </c>
      <c r="D7">
        <v>8.1</v>
      </c>
      <c r="E7" t="s">
        <v>9</v>
      </c>
      <c r="F7">
        <v>1</v>
      </c>
    </row>
    <row r="8" spans="1:7" x14ac:dyDescent="0.25">
      <c r="A8" t="s">
        <v>126</v>
      </c>
      <c r="B8" t="s">
        <v>6</v>
      </c>
      <c r="C8">
        <v>1995</v>
      </c>
      <c r="D8">
        <v>8</v>
      </c>
      <c r="E8" t="s">
        <v>10</v>
      </c>
      <c r="F8">
        <v>1</v>
      </c>
    </row>
    <row r="9" spans="1:7" x14ac:dyDescent="0.25">
      <c r="A9" t="s">
        <v>127</v>
      </c>
      <c r="B9" t="s">
        <v>6</v>
      </c>
      <c r="C9">
        <v>2009</v>
      </c>
      <c r="D9">
        <v>8.4</v>
      </c>
      <c r="E9" t="s">
        <v>117</v>
      </c>
      <c r="F9">
        <v>1</v>
      </c>
    </row>
    <row r="10" spans="1:7" x14ac:dyDescent="0.25">
      <c r="A10" t="s">
        <v>128</v>
      </c>
      <c r="B10" t="s">
        <v>6</v>
      </c>
      <c r="C10">
        <v>2001</v>
      </c>
      <c r="D10">
        <v>7.4</v>
      </c>
      <c r="E10" t="s">
        <v>12</v>
      </c>
      <c r="F10">
        <v>1</v>
      </c>
    </row>
    <row r="11" spans="1:7" x14ac:dyDescent="0.25">
      <c r="A11" t="s">
        <v>129</v>
      </c>
      <c r="B11" t="s">
        <v>6</v>
      </c>
      <c r="C11">
        <v>2015</v>
      </c>
      <c r="D11">
        <v>7.2</v>
      </c>
      <c r="F11">
        <v>1</v>
      </c>
    </row>
    <row r="12" spans="1:7" x14ac:dyDescent="0.25">
      <c r="A12" t="s">
        <v>130</v>
      </c>
      <c r="B12" t="s">
        <v>7</v>
      </c>
      <c r="C12">
        <v>1994</v>
      </c>
      <c r="D12">
        <v>9.3000000000000007</v>
      </c>
      <c r="E12" t="s">
        <v>13</v>
      </c>
      <c r="F12">
        <v>5</v>
      </c>
    </row>
    <row r="13" spans="1:7" x14ac:dyDescent="0.25">
      <c r="A13" t="s">
        <v>131</v>
      </c>
      <c r="B13" t="s">
        <v>7</v>
      </c>
      <c r="C13">
        <v>2010</v>
      </c>
      <c r="D13">
        <v>8.8000000000000007</v>
      </c>
      <c r="E13" t="s">
        <v>14</v>
      </c>
      <c r="F13">
        <v>5</v>
      </c>
    </row>
    <row r="14" spans="1:7" x14ac:dyDescent="0.25">
      <c r="A14" t="s">
        <v>132</v>
      </c>
      <c r="B14" t="s">
        <v>7</v>
      </c>
      <c r="C14">
        <v>2014</v>
      </c>
      <c r="D14">
        <v>8.6</v>
      </c>
      <c r="E14" t="s">
        <v>14</v>
      </c>
      <c r="F14">
        <v>5</v>
      </c>
    </row>
    <row r="15" spans="1:7" x14ac:dyDescent="0.25">
      <c r="A15" t="s">
        <v>133</v>
      </c>
      <c r="B15" t="s">
        <v>7</v>
      </c>
      <c r="C15">
        <v>2006</v>
      </c>
      <c r="D15">
        <v>8</v>
      </c>
      <c r="E15" t="s">
        <v>15</v>
      </c>
      <c r="F15">
        <v>5</v>
      </c>
    </row>
    <row r="16" spans="1:7" x14ac:dyDescent="0.25">
      <c r="A16" t="s">
        <v>134</v>
      </c>
      <c r="B16" t="s">
        <v>7</v>
      </c>
      <c r="C16">
        <v>2000</v>
      </c>
      <c r="D16">
        <v>8.5</v>
      </c>
      <c r="E16" t="s">
        <v>16</v>
      </c>
      <c r="F16">
        <v>5</v>
      </c>
    </row>
    <row r="17" spans="1:6" x14ac:dyDescent="0.25">
      <c r="A17" t="s">
        <v>135</v>
      </c>
      <c r="B17" t="s">
        <v>7</v>
      </c>
      <c r="C17">
        <v>1997</v>
      </c>
      <c r="D17">
        <v>7.9</v>
      </c>
      <c r="E17" t="s">
        <v>17</v>
      </c>
      <c r="F17">
        <v>5</v>
      </c>
    </row>
    <row r="18" spans="1:6" x14ac:dyDescent="0.25">
      <c r="A18" t="s">
        <v>136</v>
      </c>
      <c r="B18" t="s">
        <v>7</v>
      </c>
      <c r="C18">
        <v>1946</v>
      </c>
      <c r="D18">
        <v>8.6</v>
      </c>
      <c r="E18" t="s">
        <v>18</v>
      </c>
      <c r="F18">
        <v>5</v>
      </c>
    </row>
    <row r="19" spans="1:6" x14ac:dyDescent="0.25">
      <c r="A19" t="s">
        <v>137</v>
      </c>
      <c r="B19" t="s">
        <v>7</v>
      </c>
      <c r="C19">
        <v>2009</v>
      </c>
      <c r="D19">
        <v>7.8</v>
      </c>
      <c r="E19" t="s">
        <v>19</v>
      </c>
      <c r="F19">
        <v>5</v>
      </c>
    </row>
    <row r="20" spans="1:6" x14ac:dyDescent="0.25">
      <c r="A20" t="s">
        <v>138</v>
      </c>
      <c r="B20" t="s">
        <v>7</v>
      </c>
      <c r="C20">
        <v>1972</v>
      </c>
      <c r="D20">
        <v>9.1999999999999993</v>
      </c>
      <c r="E20" t="s">
        <v>119</v>
      </c>
      <c r="F20">
        <v>5</v>
      </c>
    </row>
    <row r="21" spans="1:6" x14ac:dyDescent="0.25">
      <c r="A21" t="s">
        <v>139</v>
      </c>
      <c r="B21" t="s">
        <v>7</v>
      </c>
      <c r="C21">
        <v>2008</v>
      </c>
      <c r="D21">
        <v>9</v>
      </c>
      <c r="E21" t="s">
        <v>20</v>
      </c>
      <c r="F21">
        <v>5</v>
      </c>
    </row>
    <row r="22" spans="1:6" x14ac:dyDescent="0.25">
      <c r="A22" t="s">
        <v>140</v>
      </c>
      <c r="B22" t="s">
        <v>7</v>
      </c>
      <c r="C22">
        <v>1993</v>
      </c>
      <c r="D22">
        <v>9</v>
      </c>
      <c r="E22" t="s">
        <v>21</v>
      </c>
      <c r="F22">
        <v>5</v>
      </c>
    </row>
    <row r="23" spans="1:6" x14ac:dyDescent="0.25">
      <c r="A23" t="s">
        <v>141</v>
      </c>
      <c r="B23" t="s">
        <v>7</v>
      </c>
      <c r="C23">
        <v>1993</v>
      </c>
      <c r="D23">
        <v>8.1999999999999993</v>
      </c>
      <c r="E23" t="s">
        <v>21</v>
      </c>
      <c r="F23">
        <v>5</v>
      </c>
    </row>
    <row r="24" spans="1:6" x14ac:dyDescent="0.25">
      <c r="A24" t="s">
        <v>142</v>
      </c>
      <c r="B24" t="s">
        <v>7</v>
      </c>
      <c r="C24">
        <v>2019</v>
      </c>
      <c r="D24">
        <v>8.5</v>
      </c>
      <c r="F24">
        <v>5</v>
      </c>
    </row>
    <row r="25" spans="1:6" x14ac:dyDescent="0.25">
      <c r="A25" t="s">
        <v>143</v>
      </c>
      <c r="B25" t="s">
        <v>7</v>
      </c>
      <c r="C25">
        <v>2019</v>
      </c>
      <c r="D25">
        <v>8.4</v>
      </c>
      <c r="E25" t="s">
        <v>8</v>
      </c>
      <c r="F25">
        <v>5</v>
      </c>
    </row>
    <row r="26" spans="1:6" x14ac:dyDescent="0.25">
      <c r="A26" t="s">
        <v>144</v>
      </c>
      <c r="B26" t="s">
        <v>7</v>
      </c>
      <c r="C26">
        <v>2018</v>
      </c>
      <c r="D26">
        <v>8.4</v>
      </c>
      <c r="E26" t="s">
        <v>8</v>
      </c>
      <c r="F26">
        <v>5</v>
      </c>
    </row>
    <row r="27" spans="1:6" x14ac:dyDescent="0.25">
      <c r="A27" t="s">
        <v>145</v>
      </c>
      <c r="B27" t="s">
        <v>6</v>
      </c>
      <c r="C27">
        <v>2007</v>
      </c>
      <c r="D27">
        <v>8.3000000000000007</v>
      </c>
      <c r="F27">
        <v>1</v>
      </c>
    </row>
    <row r="28" spans="1:6" x14ac:dyDescent="0.25">
      <c r="A28" t="s">
        <v>146</v>
      </c>
      <c r="B28" t="s">
        <v>6</v>
      </c>
      <c r="C28">
        <v>2003</v>
      </c>
      <c r="D28">
        <v>8.1</v>
      </c>
      <c r="E28" t="s">
        <v>22</v>
      </c>
      <c r="F28">
        <v>1</v>
      </c>
    </row>
    <row r="29" spans="1:6" x14ac:dyDescent="0.25">
      <c r="A29" t="s">
        <v>142</v>
      </c>
      <c r="B29" t="s">
        <v>7</v>
      </c>
      <c r="C29">
        <v>2019</v>
      </c>
      <c r="D29">
        <v>8.5</v>
      </c>
      <c r="F29">
        <v>5</v>
      </c>
    </row>
    <row r="30" spans="1:6" x14ac:dyDescent="0.25">
      <c r="A30" t="s">
        <v>124</v>
      </c>
      <c r="B30" t="s">
        <v>7</v>
      </c>
      <c r="C30">
        <v>2022</v>
      </c>
      <c r="D30">
        <v>6.8</v>
      </c>
      <c r="E30" t="s">
        <v>8</v>
      </c>
      <c r="F30">
        <v>5</v>
      </c>
    </row>
    <row r="31" spans="1:6" x14ac:dyDescent="0.25">
      <c r="A31" t="s">
        <v>147</v>
      </c>
      <c r="B31" t="s">
        <v>6</v>
      </c>
      <c r="C31">
        <v>2014</v>
      </c>
      <c r="D31">
        <v>8.1</v>
      </c>
      <c r="E31" t="s">
        <v>11</v>
      </c>
      <c r="F31">
        <v>1</v>
      </c>
    </row>
    <row r="32" spans="1:6" x14ac:dyDescent="0.25">
      <c r="A32" t="s">
        <v>148</v>
      </c>
      <c r="B32" t="s">
        <v>6</v>
      </c>
      <c r="C32">
        <v>2018</v>
      </c>
      <c r="D32" t="s">
        <v>114</v>
      </c>
      <c r="E32" t="s">
        <v>11</v>
      </c>
      <c r="F32">
        <v>1</v>
      </c>
    </row>
    <row r="33" spans="1:6" x14ac:dyDescent="0.25">
      <c r="A33" t="s">
        <v>149</v>
      </c>
      <c r="B33" t="s">
        <v>6</v>
      </c>
      <c r="C33">
        <v>2021</v>
      </c>
      <c r="D33">
        <v>7.6</v>
      </c>
      <c r="E33" t="s">
        <v>23</v>
      </c>
      <c r="F33">
        <v>2</v>
      </c>
    </row>
    <row r="34" spans="1:6" x14ac:dyDescent="0.25">
      <c r="A34" t="s">
        <v>150</v>
      </c>
      <c r="B34" t="s">
        <v>6</v>
      </c>
      <c r="C34">
        <v>2022</v>
      </c>
      <c r="D34">
        <v>8</v>
      </c>
      <c r="E34" t="s">
        <v>24</v>
      </c>
      <c r="F34">
        <v>2</v>
      </c>
    </row>
    <row r="35" spans="1:6" x14ac:dyDescent="0.25">
      <c r="A35" t="s">
        <v>151</v>
      </c>
      <c r="B35" t="s">
        <v>6</v>
      </c>
      <c r="C35">
        <v>2015</v>
      </c>
      <c r="D35">
        <v>8</v>
      </c>
      <c r="E35" t="s">
        <v>25</v>
      </c>
      <c r="F35">
        <v>2</v>
      </c>
    </row>
    <row r="36" spans="1:6" x14ac:dyDescent="0.25">
      <c r="A36" t="s">
        <v>152</v>
      </c>
      <c r="B36" t="s">
        <v>6</v>
      </c>
      <c r="C36">
        <v>2022</v>
      </c>
      <c r="D36">
        <v>8.3000000000000007</v>
      </c>
      <c r="E36" t="s">
        <v>26</v>
      </c>
      <c r="F36">
        <v>1</v>
      </c>
    </row>
    <row r="37" spans="1:6" x14ac:dyDescent="0.25">
      <c r="A37" t="s">
        <v>153</v>
      </c>
      <c r="B37" t="s">
        <v>6</v>
      </c>
      <c r="C37">
        <v>2015</v>
      </c>
      <c r="D37">
        <v>8.1</v>
      </c>
      <c r="E37" t="s">
        <v>27</v>
      </c>
      <c r="F37">
        <v>1</v>
      </c>
    </row>
    <row r="38" spans="1:6" x14ac:dyDescent="0.25">
      <c r="A38" t="s">
        <v>154</v>
      </c>
      <c r="B38" t="s">
        <v>7</v>
      </c>
      <c r="C38">
        <v>2011</v>
      </c>
      <c r="D38">
        <v>6.9</v>
      </c>
      <c r="E38" t="s">
        <v>8</v>
      </c>
      <c r="F38">
        <v>5</v>
      </c>
    </row>
    <row r="39" spans="1:6" x14ac:dyDescent="0.25">
      <c r="A39" t="s">
        <v>155</v>
      </c>
      <c r="B39" t="s">
        <v>7</v>
      </c>
      <c r="C39">
        <v>2014</v>
      </c>
      <c r="D39">
        <v>7.8</v>
      </c>
      <c r="E39" t="s">
        <v>8</v>
      </c>
      <c r="F39">
        <v>5</v>
      </c>
    </row>
    <row r="40" spans="1:6" x14ac:dyDescent="0.25">
      <c r="A40" t="s">
        <v>156</v>
      </c>
      <c r="B40" t="s">
        <v>6</v>
      </c>
      <c r="C40">
        <v>2018</v>
      </c>
      <c r="D40">
        <v>1.9</v>
      </c>
      <c r="E40" t="s">
        <v>27</v>
      </c>
      <c r="F40">
        <v>1</v>
      </c>
    </row>
    <row r="41" spans="1:6" x14ac:dyDescent="0.25">
      <c r="A41" t="s">
        <v>157</v>
      </c>
      <c r="B41" t="s">
        <v>6</v>
      </c>
      <c r="C41">
        <v>2021</v>
      </c>
      <c r="D41">
        <v>8.4</v>
      </c>
      <c r="E41" t="s">
        <v>12</v>
      </c>
      <c r="F41">
        <v>1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51C0-D968-407B-BACE-9EC26BF67B79}">
  <sheetPr codeName="Sheet6"/>
  <dimension ref="A1:E41"/>
  <sheetViews>
    <sheetView zoomScale="160" zoomScaleNormal="160" workbookViewId="0">
      <selection activeCell="D8" sqref="D8"/>
    </sheetView>
  </sheetViews>
  <sheetFormatPr defaultColWidth="8.85546875" defaultRowHeight="15" x14ac:dyDescent="0.25"/>
  <cols>
    <col min="1" max="1" width="9.85546875" customWidth="1"/>
    <col min="5" max="5" width="9.42578125" customWidth="1"/>
  </cols>
  <sheetData>
    <row r="1" spans="1:5" x14ac:dyDescent="0.25">
      <c r="A1" s="1" t="s">
        <v>0</v>
      </c>
      <c r="B1" s="1" t="s">
        <v>28</v>
      </c>
      <c r="C1" s="1" t="s">
        <v>29</v>
      </c>
      <c r="D1" s="1" t="s">
        <v>30</v>
      </c>
      <c r="E1" s="1" t="s">
        <v>31</v>
      </c>
    </row>
    <row r="2" spans="1:5" x14ac:dyDescent="0.25">
      <c r="A2">
        <v>101</v>
      </c>
      <c r="B2">
        <v>1</v>
      </c>
      <c r="C2">
        <v>12.5</v>
      </c>
      <c r="D2" t="s">
        <v>32</v>
      </c>
      <c r="E2" t="s">
        <v>33</v>
      </c>
    </row>
    <row r="3" spans="1:5" x14ac:dyDescent="0.25">
      <c r="A3">
        <v>102</v>
      </c>
      <c r="B3">
        <v>200</v>
      </c>
      <c r="C3">
        <v>954.8</v>
      </c>
      <c r="D3" t="s">
        <v>34</v>
      </c>
      <c r="E3" t="s">
        <v>35</v>
      </c>
    </row>
    <row r="4" spans="1:5" x14ac:dyDescent="0.25">
      <c r="A4">
        <v>103</v>
      </c>
      <c r="B4">
        <v>165</v>
      </c>
      <c r="C4">
        <v>644.79999999999995</v>
      </c>
      <c r="D4" t="s">
        <v>34</v>
      </c>
      <c r="E4" t="s">
        <v>35</v>
      </c>
    </row>
    <row r="5" spans="1:5" x14ac:dyDescent="0.25">
      <c r="A5">
        <v>104</v>
      </c>
      <c r="B5">
        <v>180</v>
      </c>
      <c r="C5">
        <v>854</v>
      </c>
      <c r="D5" t="s">
        <v>34</v>
      </c>
      <c r="E5" t="s">
        <v>35</v>
      </c>
    </row>
    <row r="6" spans="1:5" x14ac:dyDescent="0.25">
      <c r="A6">
        <v>105</v>
      </c>
      <c r="B6">
        <v>250</v>
      </c>
      <c r="C6">
        <v>670</v>
      </c>
      <c r="D6" t="s">
        <v>34</v>
      </c>
      <c r="E6" t="s">
        <v>35</v>
      </c>
    </row>
    <row r="7" spans="1:5" x14ac:dyDescent="0.25">
      <c r="A7">
        <v>107</v>
      </c>
      <c r="B7">
        <v>400</v>
      </c>
      <c r="C7">
        <v>2000</v>
      </c>
      <c r="D7" t="s">
        <v>34</v>
      </c>
      <c r="E7" t="s">
        <v>33</v>
      </c>
    </row>
    <row r="8" spans="1:5" x14ac:dyDescent="0.25">
      <c r="A8">
        <v>108</v>
      </c>
      <c r="B8">
        <v>550</v>
      </c>
      <c r="C8">
        <v>4000</v>
      </c>
      <c r="D8" t="s">
        <v>34</v>
      </c>
      <c r="E8" t="s">
        <v>33</v>
      </c>
    </row>
    <row r="9" spans="1:5" x14ac:dyDescent="0.25">
      <c r="A9">
        <v>109</v>
      </c>
      <c r="B9">
        <v>390</v>
      </c>
      <c r="C9">
        <v>1360</v>
      </c>
      <c r="D9" t="s">
        <v>34</v>
      </c>
      <c r="E9" t="s">
        <v>33</v>
      </c>
    </row>
    <row r="10" spans="1:5" x14ac:dyDescent="0.25">
      <c r="A10">
        <v>110</v>
      </c>
      <c r="B10">
        <v>1.4</v>
      </c>
      <c r="C10">
        <v>3.5</v>
      </c>
      <c r="D10" t="s">
        <v>32</v>
      </c>
      <c r="E10" t="s">
        <v>33</v>
      </c>
    </row>
    <row r="11" spans="1:5" x14ac:dyDescent="0.25">
      <c r="A11">
        <v>111</v>
      </c>
      <c r="B11">
        <v>25</v>
      </c>
      <c r="C11">
        <v>73.3</v>
      </c>
      <c r="D11" t="s">
        <v>34</v>
      </c>
      <c r="E11" t="s">
        <v>35</v>
      </c>
    </row>
    <row r="12" spans="1:5" x14ac:dyDescent="0.25">
      <c r="A12">
        <v>113</v>
      </c>
      <c r="B12">
        <v>165</v>
      </c>
      <c r="C12">
        <v>701.8</v>
      </c>
      <c r="D12" t="s">
        <v>34</v>
      </c>
      <c r="E12" t="s">
        <v>35</v>
      </c>
    </row>
    <row r="13" spans="1:5" x14ac:dyDescent="0.25">
      <c r="A13">
        <v>114</v>
      </c>
      <c r="B13">
        <v>205</v>
      </c>
      <c r="C13">
        <v>365.3</v>
      </c>
      <c r="D13" t="s">
        <v>34</v>
      </c>
      <c r="E13" t="s">
        <v>35</v>
      </c>
    </row>
    <row r="14" spans="1:5" x14ac:dyDescent="0.25">
      <c r="A14">
        <v>115</v>
      </c>
      <c r="B14">
        <v>55</v>
      </c>
      <c r="C14">
        <v>307.10000000000002</v>
      </c>
      <c r="D14" t="s">
        <v>34</v>
      </c>
      <c r="E14" t="s">
        <v>35</v>
      </c>
    </row>
    <row r="15" spans="1:5" x14ac:dyDescent="0.25">
      <c r="A15">
        <v>116</v>
      </c>
      <c r="B15">
        <v>103</v>
      </c>
      <c r="C15">
        <v>460.5</v>
      </c>
      <c r="D15" t="s">
        <v>34</v>
      </c>
      <c r="E15" t="s">
        <v>35</v>
      </c>
    </row>
    <row r="16" spans="1:5" x14ac:dyDescent="0.25">
      <c r="A16">
        <v>117</v>
      </c>
      <c r="B16">
        <v>200</v>
      </c>
      <c r="C16">
        <v>2202</v>
      </c>
      <c r="D16" t="s">
        <v>34</v>
      </c>
      <c r="E16" t="s">
        <v>35</v>
      </c>
    </row>
    <row r="17" spans="1:5" x14ac:dyDescent="0.25">
      <c r="A17">
        <v>118</v>
      </c>
      <c r="B17">
        <v>3.18</v>
      </c>
      <c r="C17">
        <v>3.3</v>
      </c>
      <c r="D17" t="s">
        <v>34</v>
      </c>
      <c r="E17" t="s">
        <v>35</v>
      </c>
    </row>
    <row r="18" spans="1:5" x14ac:dyDescent="0.25">
      <c r="A18">
        <v>119</v>
      </c>
      <c r="B18">
        <v>237</v>
      </c>
      <c r="C18">
        <v>2847</v>
      </c>
      <c r="D18" t="s">
        <v>34</v>
      </c>
      <c r="E18" t="s">
        <v>35</v>
      </c>
    </row>
    <row r="19" spans="1:5" x14ac:dyDescent="0.25">
      <c r="A19">
        <v>120</v>
      </c>
      <c r="B19">
        <v>7.2</v>
      </c>
      <c r="C19">
        <v>291</v>
      </c>
      <c r="D19" t="s">
        <v>34</v>
      </c>
      <c r="E19" t="s">
        <v>35</v>
      </c>
    </row>
    <row r="20" spans="1:5" x14ac:dyDescent="0.25">
      <c r="A20">
        <v>121</v>
      </c>
      <c r="B20">
        <v>185</v>
      </c>
      <c r="C20">
        <v>1006</v>
      </c>
      <c r="D20" t="s">
        <v>34</v>
      </c>
      <c r="E20" t="s">
        <v>35</v>
      </c>
    </row>
    <row r="21" spans="1:5" x14ac:dyDescent="0.25">
      <c r="A21">
        <v>122</v>
      </c>
      <c r="B21">
        <v>22</v>
      </c>
      <c r="C21">
        <v>322.2</v>
      </c>
      <c r="D21" t="s">
        <v>34</v>
      </c>
      <c r="E21" t="s">
        <v>35</v>
      </c>
    </row>
    <row r="22" spans="1:5" x14ac:dyDescent="0.25">
      <c r="A22">
        <v>123</v>
      </c>
      <c r="B22">
        <v>63</v>
      </c>
      <c r="C22">
        <v>1046</v>
      </c>
      <c r="D22" t="s">
        <v>34</v>
      </c>
      <c r="E22" t="s">
        <v>35</v>
      </c>
    </row>
    <row r="23" spans="1:5" x14ac:dyDescent="0.25">
      <c r="A23">
        <v>124</v>
      </c>
      <c r="B23">
        <v>15.5</v>
      </c>
      <c r="C23">
        <v>263.10000000000002</v>
      </c>
      <c r="D23" t="s">
        <v>34</v>
      </c>
      <c r="E23" t="s">
        <v>35</v>
      </c>
    </row>
    <row r="24" spans="1:5" x14ac:dyDescent="0.25">
      <c r="A24">
        <v>125</v>
      </c>
      <c r="B24">
        <v>400</v>
      </c>
      <c r="C24">
        <v>2798</v>
      </c>
      <c r="D24" t="s">
        <v>34</v>
      </c>
      <c r="E24" t="s">
        <v>35</v>
      </c>
    </row>
    <row r="25" spans="1:5" x14ac:dyDescent="0.25">
      <c r="A25">
        <v>126</v>
      </c>
      <c r="B25">
        <v>400</v>
      </c>
      <c r="C25">
        <v>2048</v>
      </c>
      <c r="D25" t="s">
        <v>34</v>
      </c>
      <c r="E25" t="s">
        <v>35</v>
      </c>
    </row>
    <row r="26" spans="1:5" x14ac:dyDescent="0.25">
      <c r="A26">
        <v>127</v>
      </c>
      <c r="B26">
        <v>70</v>
      </c>
      <c r="C26">
        <v>100</v>
      </c>
      <c r="D26" t="s">
        <v>34</v>
      </c>
      <c r="E26" t="s">
        <v>33</v>
      </c>
    </row>
    <row r="27" spans="1:5" x14ac:dyDescent="0.25">
      <c r="A27">
        <v>128</v>
      </c>
      <c r="B27">
        <v>120</v>
      </c>
      <c r="C27">
        <v>1350</v>
      </c>
      <c r="D27" t="s">
        <v>34</v>
      </c>
      <c r="E27" t="s">
        <v>33</v>
      </c>
    </row>
    <row r="28" spans="1:5" x14ac:dyDescent="0.25">
      <c r="A28">
        <v>129</v>
      </c>
      <c r="B28">
        <v>100</v>
      </c>
      <c r="C28">
        <v>410</v>
      </c>
      <c r="D28" t="s">
        <v>34</v>
      </c>
      <c r="E28" t="s">
        <v>33</v>
      </c>
    </row>
    <row r="29" spans="1:5" x14ac:dyDescent="0.25">
      <c r="A29">
        <v>130</v>
      </c>
      <c r="B29">
        <v>850</v>
      </c>
      <c r="C29">
        <v>8540</v>
      </c>
      <c r="D29" t="s">
        <v>34</v>
      </c>
      <c r="E29" t="s">
        <v>33</v>
      </c>
    </row>
    <row r="30" spans="1:5" x14ac:dyDescent="0.25">
      <c r="A30">
        <v>131</v>
      </c>
      <c r="B30">
        <v>1</v>
      </c>
      <c r="C30">
        <v>5.9</v>
      </c>
      <c r="D30" t="s">
        <v>32</v>
      </c>
      <c r="E30" t="s">
        <v>33</v>
      </c>
    </row>
    <row r="31" spans="1:5" x14ac:dyDescent="0.25">
      <c r="A31">
        <v>132</v>
      </c>
      <c r="B31">
        <v>2</v>
      </c>
      <c r="C31">
        <v>3.6</v>
      </c>
      <c r="D31" t="s">
        <v>32</v>
      </c>
      <c r="E31" t="s">
        <v>33</v>
      </c>
    </row>
    <row r="32" spans="1:5" x14ac:dyDescent="0.25">
      <c r="A32">
        <v>133</v>
      </c>
      <c r="B32">
        <v>5.5</v>
      </c>
      <c r="C32">
        <v>12</v>
      </c>
      <c r="D32" t="s">
        <v>32</v>
      </c>
      <c r="E32" t="s">
        <v>33</v>
      </c>
    </row>
    <row r="33" spans="1:5" x14ac:dyDescent="0.25">
      <c r="A33">
        <v>134</v>
      </c>
      <c r="B33">
        <v>1.8</v>
      </c>
      <c r="C33">
        <v>6.5</v>
      </c>
      <c r="D33" t="s">
        <v>32</v>
      </c>
      <c r="E33" t="s">
        <v>33</v>
      </c>
    </row>
    <row r="34" spans="1:5" x14ac:dyDescent="0.25">
      <c r="A34">
        <v>135</v>
      </c>
      <c r="B34">
        <v>250</v>
      </c>
      <c r="C34">
        <v>3409</v>
      </c>
      <c r="D34" t="s">
        <v>34</v>
      </c>
      <c r="E34" t="s">
        <v>33</v>
      </c>
    </row>
    <row r="35" spans="1:5" x14ac:dyDescent="0.25">
      <c r="A35">
        <v>136</v>
      </c>
      <c r="B35">
        <v>900</v>
      </c>
      <c r="C35">
        <v>11690</v>
      </c>
      <c r="D35" t="s">
        <v>34</v>
      </c>
      <c r="E35" t="s">
        <v>33</v>
      </c>
    </row>
    <row r="36" spans="1:5" x14ac:dyDescent="0.25">
      <c r="A36">
        <v>137</v>
      </c>
      <c r="B36">
        <v>216.7</v>
      </c>
      <c r="C36">
        <v>370.6</v>
      </c>
      <c r="D36" t="s">
        <v>34</v>
      </c>
      <c r="E36" t="s">
        <v>35</v>
      </c>
    </row>
    <row r="37" spans="1:5" x14ac:dyDescent="0.25">
      <c r="A37">
        <v>138</v>
      </c>
      <c r="B37">
        <v>177</v>
      </c>
      <c r="C37">
        <v>714.4</v>
      </c>
      <c r="D37" t="s">
        <v>34</v>
      </c>
      <c r="E37" t="s">
        <v>35</v>
      </c>
    </row>
    <row r="38" spans="1:5" x14ac:dyDescent="0.25">
      <c r="A38">
        <v>139</v>
      </c>
      <c r="B38">
        <v>1.8</v>
      </c>
      <c r="C38">
        <v>3.1</v>
      </c>
      <c r="D38" t="s">
        <v>32</v>
      </c>
      <c r="E38" t="s">
        <v>33</v>
      </c>
    </row>
    <row r="39" spans="1:5" x14ac:dyDescent="0.25">
      <c r="A39">
        <v>140</v>
      </c>
      <c r="B39">
        <v>500</v>
      </c>
      <c r="C39">
        <v>950</v>
      </c>
      <c r="D39" t="s">
        <v>34</v>
      </c>
      <c r="E39" t="s">
        <v>33</v>
      </c>
    </row>
    <row r="40" spans="1:5" x14ac:dyDescent="0.25">
      <c r="A40">
        <v>406</v>
      </c>
      <c r="B40">
        <v>30</v>
      </c>
      <c r="C40">
        <v>350</v>
      </c>
      <c r="D40" t="s">
        <v>34</v>
      </c>
      <c r="E40" t="s">
        <v>33</v>
      </c>
    </row>
    <row r="41" spans="1:5" x14ac:dyDescent="0.25">
      <c r="A41">
        <v>412</v>
      </c>
      <c r="B41">
        <v>160</v>
      </c>
      <c r="C41">
        <v>836.8</v>
      </c>
      <c r="D41" t="s">
        <v>34</v>
      </c>
      <c r="E41" t="s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5207-AD4A-4BA5-928C-E78006753CCF}">
  <sheetPr codeName="Sheet7"/>
  <dimension ref="A1:C68"/>
  <sheetViews>
    <sheetView zoomScale="160" zoomScaleNormal="160" workbookViewId="0">
      <selection activeCell="E12" sqref="E12"/>
    </sheetView>
  </sheetViews>
  <sheetFormatPr defaultColWidth="8.85546875" defaultRowHeight="15" x14ac:dyDescent="0.25"/>
  <cols>
    <col min="2" max="2" width="26.42578125" customWidth="1"/>
    <col min="3" max="3" width="10.85546875" customWidth="1"/>
  </cols>
  <sheetData>
    <row r="1" spans="1:3" x14ac:dyDescent="0.25">
      <c r="A1" s="2" t="s">
        <v>36</v>
      </c>
      <c r="B1" s="2" t="s">
        <v>37</v>
      </c>
      <c r="C1" s="2" t="s">
        <v>38</v>
      </c>
    </row>
    <row r="2" spans="1:3" x14ac:dyDescent="0.25">
      <c r="A2">
        <v>50</v>
      </c>
      <c r="B2" t="s">
        <v>39</v>
      </c>
      <c r="C2">
        <v>1986</v>
      </c>
    </row>
    <row r="3" spans="1:3" x14ac:dyDescent="0.25">
      <c r="A3">
        <v>51</v>
      </c>
      <c r="B3" t="s">
        <v>40</v>
      </c>
      <c r="C3">
        <v>1959</v>
      </c>
    </row>
    <row r="4" spans="1:3" x14ac:dyDescent="0.25">
      <c r="A4">
        <v>52</v>
      </c>
      <c r="B4" t="s">
        <v>41</v>
      </c>
      <c r="C4">
        <v>1976</v>
      </c>
    </row>
    <row r="5" spans="1:3" x14ac:dyDescent="0.25">
      <c r="A5">
        <v>53</v>
      </c>
      <c r="B5" t="s">
        <v>42</v>
      </c>
      <c r="C5">
        <v>1989</v>
      </c>
    </row>
    <row r="6" spans="1:3" x14ac:dyDescent="0.25">
      <c r="A6">
        <v>54</v>
      </c>
      <c r="B6" t="s">
        <v>43</v>
      </c>
      <c r="C6">
        <v>1983</v>
      </c>
    </row>
    <row r="7" spans="1:3" x14ac:dyDescent="0.25">
      <c r="A7">
        <v>55</v>
      </c>
      <c r="B7" t="s">
        <v>44</v>
      </c>
      <c r="C7">
        <v>1981</v>
      </c>
    </row>
    <row r="8" spans="1:3" x14ac:dyDescent="0.25">
      <c r="A8">
        <v>56</v>
      </c>
      <c r="B8" t="s">
        <v>45</v>
      </c>
      <c r="C8">
        <v>1981</v>
      </c>
    </row>
    <row r="9" spans="1:3" x14ac:dyDescent="0.25">
      <c r="A9">
        <v>57</v>
      </c>
      <c r="B9" t="s">
        <v>46</v>
      </c>
      <c r="C9">
        <v>1942</v>
      </c>
    </row>
    <row r="10" spans="1:3" x14ac:dyDescent="0.25">
      <c r="A10">
        <v>58</v>
      </c>
      <c r="B10" t="s">
        <v>47</v>
      </c>
      <c r="C10">
        <v>1948</v>
      </c>
    </row>
    <row r="11" spans="1:3" x14ac:dyDescent="0.25">
      <c r="A11">
        <v>59</v>
      </c>
      <c r="B11" t="s">
        <v>48</v>
      </c>
      <c r="C11">
        <v>1965</v>
      </c>
    </row>
    <row r="12" spans="1:3" x14ac:dyDescent="0.25">
      <c r="A12">
        <v>60</v>
      </c>
      <c r="B12" t="s">
        <v>49</v>
      </c>
      <c r="C12">
        <v>1974</v>
      </c>
    </row>
    <row r="13" spans="1:3" x14ac:dyDescent="0.25">
      <c r="A13">
        <v>61</v>
      </c>
      <c r="B13" t="s">
        <v>50</v>
      </c>
      <c r="C13">
        <v>1965</v>
      </c>
    </row>
    <row r="14" spans="1:3" x14ac:dyDescent="0.25">
      <c r="A14">
        <v>62</v>
      </c>
      <c r="B14" t="s">
        <v>51</v>
      </c>
      <c r="C14">
        <v>1970</v>
      </c>
    </row>
    <row r="15" spans="1:3" x14ac:dyDescent="0.25">
      <c r="A15">
        <v>63</v>
      </c>
      <c r="B15" t="s">
        <v>52</v>
      </c>
      <c r="C15">
        <v>1979</v>
      </c>
    </row>
    <row r="16" spans="1:3" x14ac:dyDescent="0.25">
      <c r="A16">
        <v>64</v>
      </c>
      <c r="B16" t="s">
        <v>53</v>
      </c>
      <c r="C16">
        <v>1974</v>
      </c>
    </row>
    <row r="17" spans="1:3" x14ac:dyDescent="0.25">
      <c r="A17">
        <v>65</v>
      </c>
      <c r="B17" t="s">
        <v>54</v>
      </c>
      <c r="C17">
        <v>1985</v>
      </c>
    </row>
    <row r="18" spans="1:3" x14ac:dyDescent="0.25">
      <c r="A18">
        <v>66</v>
      </c>
      <c r="B18" t="s">
        <v>55</v>
      </c>
      <c r="C18">
        <v>1986</v>
      </c>
    </row>
    <row r="19" spans="1:3" x14ac:dyDescent="0.25">
      <c r="A19">
        <v>67</v>
      </c>
      <c r="B19" t="s">
        <v>56</v>
      </c>
      <c r="C19">
        <v>1958</v>
      </c>
    </row>
    <row r="20" spans="1:3" x14ac:dyDescent="0.25">
      <c r="A20">
        <v>68</v>
      </c>
      <c r="B20" t="s">
        <v>57</v>
      </c>
      <c r="C20">
        <v>1937</v>
      </c>
    </row>
    <row r="21" spans="1:3" x14ac:dyDescent="0.25">
      <c r="A21">
        <v>69</v>
      </c>
      <c r="B21" t="s">
        <v>58</v>
      </c>
      <c r="C21">
        <v>1974</v>
      </c>
    </row>
    <row r="22" spans="1:3" x14ac:dyDescent="0.25">
      <c r="A22">
        <v>70</v>
      </c>
      <c r="B22" t="s">
        <v>59</v>
      </c>
      <c r="C22">
        <v>1959</v>
      </c>
    </row>
    <row r="23" spans="1:3" x14ac:dyDescent="0.25">
      <c r="A23">
        <v>71</v>
      </c>
      <c r="B23" t="s">
        <v>60</v>
      </c>
      <c r="C23">
        <v>1969</v>
      </c>
    </row>
    <row r="24" spans="1:3" x14ac:dyDescent="0.25">
      <c r="A24">
        <v>72</v>
      </c>
      <c r="B24" t="s">
        <v>61</v>
      </c>
      <c r="C24">
        <v>1982</v>
      </c>
    </row>
    <row r="25" spans="1:3" x14ac:dyDescent="0.25">
      <c r="A25">
        <v>73</v>
      </c>
      <c r="B25" t="s">
        <v>62</v>
      </c>
      <c r="C25">
        <v>1984</v>
      </c>
    </row>
    <row r="26" spans="1:3" x14ac:dyDescent="0.25">
      <c r="A26">
        <v>74</v>
      </c>
      <c r="B26" t="s">
        <v>63</v>
      </c>
      <c r="C26">
        <v>1986</v>
      </c>
    </row>
    <row r="27" spans="1:3" x14ac:dyDescent="0.25">
      <c r="A27">
        <v>75</v>
      </c>
      <c r="B27" t="s">
        <v>64</v>
      </c>
      <c r="C27">
        <v>1968</v>
      </c>
    </row>
    <row r="28" spans="1:3" x14ac:dyDescent="0.25">
      <c r="A28">
        <v>76</v>
      </c>
      <c r="B28" t="s">
        <v>65</v>
      </c>
      <c r="C28">
        <v>1972</v>
      </c>
    </row>
    <row r="29" spans="1:3" x14ac:dyDescent="0.25">
      <c r="A29">
        <v>77</v>
      </c>
      <c r="B29" t="s">
        <v>66</v>
      </c>
      <c r="C29">
        <v>1964</v>
      </c>
    </row>
    <row r="30" spans="1:3" x14ac:dyDescent="0.25">
      <c r="A30">
        <v>78</v>
      </c>
      <c r="B30" t="s">
        <v>67</v>
      </c>
      <c r="C30">
        <v>1974</v>
      </c>
    </row>
    <row r="31" spans="1:3" x14ac:dyDescent="0.25">
      <c r="A31">
        <v>79</v>
      </c>
      <c r="B31" t="s">
        <v>68</v>
      </c>
      <c r="C31">
        <v>1975</v>
      </c>
    </row>
    <row r="32" spans="1:3" x14ac:dyDescent="0.25">
      <c r="A32">
        <v>80</v>
      </c>
      <c r="B32" t="s">
        <v>69</v>
      </c>
      <c r="C32">
        <v>1908</v>
      </c>
    </row>
    <row r="33" spans="1:3" x14ac:dyDescent="0.25">
      <c r="A33">
        <v>81</v>
      </c>
      <c r="B33" t="s">
        <v>70</v>
      </c>
      <c r="C33">
        <v>1921</v>
      </c>
    </row>
    <row r="34" spans="1:3" x14ac:dyDescent="0.25">
      <c r="A34">
        <v>82</v>
      </c>
      <c r="B34" t="s">
        <v>71</v>
      </c>
      <c r="C34">
        <v>1976</v>
      </c>
    </row>
    <row r="35" spans="1:3" x14ac:dyDescent="0.25">
      <c r="A35">
        <v>83</v>
      </c>
      <c r="B35" t="s">
        <v>72</v>
      </c>
      <c r="C35">
        <v>1978</v>
      </c>
    </row>
    <row r="36" spans="1:3" x14ac:dyDescent="0.25">
      <c r="A36">
        <v>84</v>
      </c>
      <c r="B36" t="s">
        <v>73</v>
      </c>
      <c r="C36">
        <v>1924</v>
      </c>
    </row>
    <row r="37" spans="1:3" x14ac:dyDescent="0.25">
      <c r="A37">
        <v>85</v>
      </c>
      <c r="B37" t="s">
        <v>74</v>
      </c>
      <c r="C37">
        <v>1940</v>
      </c>
    </row>
    <row r="38" spans="1:3" x14ac:dyDescent="0.25">
      <c r="A38">
        <v>86</v>
      </c>
      <c r="B38" t="s">
        <v>75</v>
      </c>
      <c r="C38">
        <v>1974</v>
      </c>
    </row>
    <row r="39" spans="1:3" x14ac:dyDescent="0.25">
      <c r="A39">
        <v>87</v>
      </c>
      <c r="B39" t="s">
        <v>76</v>
      </c>
      <c r="C39">
        <v>1979</v>
      </c>
    </row>
    <row r="40" spans="1:3" x14ac:dyDescent="0.25">
      <c r="A40">
        <v>88</v>
      </c>
      <c r="B40" t="s">
        <v>77</v>
      </c>
      <c r="C40">
        <v>1952</v>
      </c>
    </row>
    <row r="41" spans="1:3" x14ac:dyDescent="0.25">
      <c r="A41">
        <v>89</v>
      </c>
      <c r="B41" t="s">
        <v>78</v>
      </c>
      <c r="C41">
        <v>1943</v>
      </c>
    </row>
    <row r="42" spans="1:3" x14ac:dyDescent="0.25">
      <c r="A42">
        <v>90</v>
      </c>
      <c r="B42" t="s">
        <v>79</v>
      </c>
      <c r="C42">
        <v>1947</v>
      </c>
    </row>
    <row r="43" spans="1:3" x14ac:dyDescent="0.25">
      <c r="A43">
        <v>91</v>
      </c>
      <c r="B43" t="s">
        <v>80</v>
      </c>
      <c r="C43">
        <v>1967</v>
      </c>
    </row>
    <row r="44" spans="1:3" x14ac:dyDescent="0.25">
      <c r="A44">
        <v>92</v>
      </c>
      <c r="B44" t="s">
        <v>81</v>
      </c>
      <c r="C44">
        <v>1967</v>
      </c>
    </row>
    <row r="45" spans="1:3" x14ac:dyDescent="0.25">
      <c r="A45">
        <v>93</v>
      </c>
      <c r="B45" t="s">
        <v>82</v>
      </c>
      <c r="C45">
        <v>1975</v>
      </c>
    </row>
    <row r="46" spans="1:3" x14ac:dyDescent="0.25">
      <c r="A46">
        <v>94</v>
      </c>
      <c r="B46" t="s">
        <v>83</v>
      </c>
      <c r="C46">
        <v>1965</v>
      </c>
    </row>
    <row r="47" spans="1:3" x14ac:dyDescent="0.25">
      <c r="A47">
        <v>95</v>
      </c>
      <c r="B47" t="s">
        <v>84</v>
      </c>
      <c r="C47">
        <v>1981</v>
      </c>
    </row>
    <row r="48" spans="1:3" x14ac:dyDescent="0.25">
      <c r="A48">
        <v>150</v>
      </c>
      <c r="B48" t="s">
        <v>85</v>
      </c>
      <c r="C48">
        <v>1905</v>
      </c>
    </row>
    <row r="49" spans="1:3" x14ac:dyDescent="0.25">
      <c r="A49">
        <v>151</v>
      </c>
      <c r="B49" t="s">
        <v>86</v>
      </c>
      <c r="C49">
        <v>1919</v>
      </c>
    </row>
    <row r="50" spans="1:3" x14ac:dyDescent="0.25">
      <c r="A50">
        <v>152</v>
      </c>
      <c r="B50" t="s">
        <v>87</v>
      </c>
      <c r="C50">
        <v>1997</v>
      </c>
    </row>
    <row r="51" spans="1:3" x14ac:dyDescent="0.25">
      <c r="A51">
        <v>153</v>
      </c>
      <c r="B51" t="s">
        <v>88</v>
      </c>
      <c r="C51">
        <v>1929</v>
      </c>
    </row>
    <row r="52" spans="1:3" x14ac:dyDescent="0.25">
      <c r="A52">
        <v>154</v>
      </c>
      <c r="B52" t="s">
        <v>89</v>
      </c>
      <c r="C52">
        <v>1988</v>
      </c>
    </row>
    <row r="53" spans="1:3" x14ac:dyDescent="0.25">
      <c r="A53">
        <v>155</v>
      </c>
      <c r="B53" t="s">
        <v>90</v>
      </c>
      <c r="C53">
        <v>1982</v>
      </c>
    </row>
    <row r="54" spans="1:3" x14ac:dyDescent="0.25">
      <c r="A54">
        <v>156</v>
      </c>
      <c r="B54" t="s">
        <v>91</v>
      </c>
      <c r="C54">
        <v>1982</v>
      </c>
    </row>
    <row r="55" spans="1:3" x14ac:dyDescent="0.25">
      <c r="A55">
        <v>157</v>
      </c>
      <c r="B55" t="s">
        <v>92</v>
      </c>
      <c r="C55">
        <v>1982</v>
      </c>
    </row>
    <row r="56" spans="1:3" x14ac:dyDescent="0.25">
      <c r="A56">
        <v>158</v>
      </c>
      <c r="B56" t="s">
        <v>93</v>
      </c>
      <c r="C56">
        <v>1983</v>
      </c>
    </row>
    <row r="57" spans="1:3" x14ac:dyDescent="0.25">
      <c r="A57">
        <v>159</v>
      </c>
      <c r="B57" t="s">
        <v>94</v>
      </c>
      <c r="C57">
        <v>1985</v>
      </c>
    </row>
    <row r="58" spans="1:3" x14ac:dyDescent="0.25">
      <c r="A58">
        <v>160</v>
      </c>
      <c r="B58" t="s">
        <v>95</v>
      </c>
      <c r="C58">
        <v>1979</v>
      </c>
    </row>
    <row r="59" spans="1:3" x14ac:dyDescent="0.25">
      <c r="A59">
        <v>161</v>
      </c>
      <c r="B59" t="s">
        <v>96</v>
      </c>
      <c r="C59">
        <v>1984</v>
      </c>
    </row>
    <row r="60" spans="1:3" x14ac:dyDescent="0.25">
      <c r="A60">
        <v>162</v>
      </c>
      <c r="B60" t="s">
        <v>97</v>
      </c>
      <c r="C60">
        <v>1950</v>
      </c>
    </row>
    <row r="61" spans="1:3" x14ac:dyDescent="0.25">
      <c r="A61">
        <v>163</v>
      </c>
      <c r="B61" t="s">
        <v>98</v>
      </c>
      <c r="C61">
        <v>1955</v>
      </c>
    </row>
    <row r="62" spans="1:3" x14ac:dyDescent="0.25">
      <c r="A62">
        <v>164</v>
      </c>
      <c r="B62" t="s">
        <v>99</v>
      </c>
      <c r="C62">
        <v>1965</v>
      </c>
    </row>
    <row r="63" spans="1:3" x14ac:dyDescent="0.25">
      <c r="A63">
        <v>165</v>
      </c>
      <c r="B63" t="s">
        <v>100</v>
      </c>
      <c r="C63">
        <v>1967</v>
      </c>
    </row>
    <row r="64" spans="1:3" x14ac:dyDescent="0.25">
      <c r="A64">
        <v>166</v>
      </c>
      <c r="B64" t="s">
        <v>101</v>
      </c>
      <c r="C64">
        <v>1946</v>
      </c>
    </row>
    <row r="65" spans="1:3" x14ac:dyDescent="0.25">
      <c r="A65">
        <v>167</v>
      </c>
      <c r="B65" t="s">
        <v>102</v>
      </c>
      <c r="C65">
        <v>1982</v>
      </c>
    </row>
    <row r="66" spans="1:3" x14ac:dyDescent="0.25">
      <c r="A66">
        <v>168</v>
      </c>
      <c r="B66" t="s">
        <v>103</v>
      </c>
      <c r="C66">
        <v>1956</v>
      </c>
    </row>
    <row r="67" spans="1:3" x14ac:dyDescent="0.25">
      <c r="A67">
        <v>169</v>
      </c>
      <c r="B67" t="s">
        <v>104</v>
      </c>
      <c r="C67">
        <v>1985</v>
      </c>
    </row>
    <row r="68" spans="1:3" x14ac:dyDescent="0.25">
      <c r="A68">
        <v>170</v>
      </c>
      <c r="B68" t="s">
        <v>105</v>
      </c>
      <c r="C68">
        <v>1991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2F180-645C-4BD4-BB22-B680DB6CAFAD}">
  <sheetPr codeName="Sheet8"/>
  <dimension ref="A1:B86"/>
  <sheetViews>
    <sheetView zoomScale="160" zoomScaleNormal="160" workbookViewId="0">
      <selection activeCell="D16" sqref="D16"/>
    </sheetView>
  </sheetViews>
  <sheetFormatPr defaultColWidth="8.85546875" defaultRowHeight="15" x14ac:dyDescent="0.25"/>
  <cols>
    <col min="1" max="1" width="9.85546875" customWidth="1"/>
  </cols>
  <sheetData>
    <row r="1" spans="1:2" x14ac:dyDescent="0.25">
      <c r="A1" s="2" t="s">
        <v>0</v>
      </c>
      <c r="B1" s="2" t="s">
        <v>36</v>
      </c>
    </row>
    <row r="2" spans="1:2" x14ac:dyDescent="0.25">
      <c r="A2">
        <v>101</v>
      </c>
      <c r="B2">
        <v>50</v>
      </c>
    </row>
    <row r="3" spans="1:2" x14ac:dyDescent="0.25">
      <c r="A3">
        <v>101</v>
      </c>
      <c r="B3">
        <v>51</v>
      </c>
    </row>
    <row r="4" spans="1:2" x14ac:dyDescent="0.25">
      <c r="A4">
        <v>102</v>
      </c>
      <c r="B4">
        <v>52</v>
      </c>
    </row>
    <row r="5" spans="1:2" x14ac:dyDescent="0.25">
      <c r="A5">
        <v>102</v>
      </c>
      <c r="B5">
        <v>53</v>
      </c>
    </row>
    <row r="6" spans="1:2" x14ac:dyDescent="0.25">
      <c r="A6">
        <v>103</v>
      </c>
      <c r="B6">
        <v>54</v>
      </c>
    </row>
    <row r="7" spans="1:2" x14ac:dyDescent="0.25">
      <c r="A7">
        <v>103</v>
      </c>
      <c r="B7">
        <v>55</v>
      </c>
    </row>
    <row r="8" spans="1:2" x14ac:dyDescent="0.25">
      <c r="A8">
        <v>103</v>
      </c>
      <c r="B8">
        <v>56</v>
      </c>
    </row>
    <row r="9" spans="1:2" x14ac:dyDescent="0.25">
      <c r="A9">
        <v>104</v>
      </c>
      <c r="B9">
        <v>54</v>
      </c>
    </row>
    <row r="10" spans="1:2" x14ac:dyDescent="0.25">
      <c r="A10">
        <v>104</v>
      </c>
      <c r="B10">
        <v>56</v>
      </c>
    </row>
    <row r="11" spans="1:2" x14ac:dyDescent="0.25">
      <c r="A11">
        <v>105</v>
      </c>
      <c r="B11">
        <v>54</v>
      </c>
    </row>
    <row r="12" spans="1:2" x14ac:dyDescent="0.25">
      <c r="A12">
        <v>105</v>
      </c>
      <c r="B12">
        <v>55</v>
      </c>
    </row>
    <row r="13" spans="1:2" x14ac:dyDescent="0.25">
      <c r="A13">
        <v>106</v>
      </c>
      <c r="B13">
        <v>57</v>
      </c>
    </row>
    <row r="14" spans="1:2" x14ac:dyDescent="0.25">
      <c r="A14">
        <v>106</v>
      </c>
      <c r="B14">
        <v>58</v>
      </c>
    </row>
    <row r="15" spans="1:2" x14ac:dyDescent="0.25">
      <c r="A15">
        <v>107</v>
      </c>
      <c r="B15">
        <v>59</v>
      </c>
    </row>
    <row r="16" spans="1:2" x14ac:dyDescent="0.25">
      <c r="A16">
        <v>107</v>
      </c>
      <c r="B16">
        <v>60</v>
      </c>
    </row>
    <row r="17" spans="1:2" x14ac:dyDescent="0.25">
      <c r="A17">
        <v>108</v>
      </c>
      <c r="B17">
        <v>61</v>
      </c>
    </row>
    <row r="18" spans="1:2" x14ac:dyDescent="0.25">
      <c r="A18">
        <v>108</v>
      </c>
      <c r="B18">
        <v>62</v>
      </c>
    </row>
    <row r="19" spans="1:2" x14ac:dyDescent="0.25">
      <c r="A19">
        <v>108</v>
      </c>
      <c r="B19">
        <v>63</v>
      </c>
    </row>
    <row r="20" spans="1:2" x14ac:dyDescent="0.25">
      <c r="A20">
        <v>109</v>
      </c>
      <c r="B20">
        <v>59</v>
      </c>
    </row>
    <row r="21" spans="1:2" x14ac:dyDescent="0.25">
      <c r="A21">
        <v>109</v>
      </c>
      <c r="B21">
        <v>57</v>
      </c>
    </row>
    <row r="22" spans="1:2" x14ac:dyDescent="0.25">
      <c r="A22">
        <v>109</v>
      </c>
      <c r="B22">
        <v>64</v>
      </c>
    </row>
    <row r="23" spans="1:2" x14ac:dyDescent="0.25">
      <c r="A23">
        <v>110</v>
      </c>
      <c r="B23">
        <v>65</v>
      </c>
    </row>
    <row r="24" spans="1:2" x14ac:dyDescent="0.25">
      <c r="A24">
        <v>110</v>
      </c>
      <c r="B24">
        <v>66</v>
      </c>
    </row>
    <row r="25" spans="1:2" x14ac:dyDescent="0.25">
      <c r="A25">
        <v>111</v>
      </c>
      <c r="B25">
        <v>67</v>
      </c>
    </row>
    <row r="26" spans="1:2" x14ac:dyDescent="0.25">
      <c r="A26">
        <v>111</v>
      </c>
      <c r="B26">
        <v>68</v>
      </c>
    </row>
    <row r="27" spans="1:2" x14ac:dyDescent="0.25">
      <c r="A27">
        <v>112</v>
      </c>
      <c r="B27">
        <v>69</v>
      </c>
    </row>
    <row r="28" spans="1:2" x14ac:dyDescent="0.25">
      <c r="A28">
        <v>112</v>
      </c>
      <c r="B28">
        <v>70</v>
      </c>
    </row>
    <row r="29" spans="1:2" x14ac:dyDescent="0.25">
      <c r="A29">
        <v>113</v>
      </c>
      <c r="B29">
        <v>71</v>
      </c>
    </row>
    <row r="30" spans="1:2" x14ac:dyDescent="0.25">
      <c r="A30">
        <v>113</v>
      </c>
      <c r="B30">
        <v>72</v>
      </c>
    </row>
    <row r="31" spans="1:2" x14ac:dyDescent="0.25">
      <c r="A31">
        <v>114</v>
      </c>
      <c r="B31">
        <v>73</v>
      </c>
    </row>
    <row r="32" spans="1:2" x14ac:dyDescent="0.25">
      <c r="A32">
        <v>114</v>
      </c>
      <c r="B32">
        <v>74</v>
      </c>
    </row>
    <row r="33" spans="1:2" x14ac:dyDescent="0.25">
      <c r="A33">
        <v>115</v>
      </c>
      <c r="B33">
        <v>75</v>
      </c>
    </row>
    <row r="34" spans="1:2" x14ac:dyDescent="0.25">
      <c r="A34">
        <v>115</v>
      </c>
      <c r="B34">
        <v>76</v>
      </c>
    </row>
    <row r="35" spans="1:2" x14ac:dyDescent="0.25">
      <c r="A35">
        <v>116</v>
      </c>
      <c r="B35">
        <v>77</v>
      </c>
    </row>
    <row r="36" spans="1:2" x14ac:dyDescent="0.25">
      <c r="A36">
        <v>116</v>
      </c>
      <c r="B36">
        <v>78</v>
      </c>
    </row>
    <row r="37" spans="1:2" x14ac:dyDescent="0.25">
      <c r="A37">
        <v>117</v>
      </c>
      <c r="B37">
        <v>69</v>
      </c>
    </row>
    <row r="38" spans="1:2" x14ac:dyDescent="0.25">
      <c r="A38">
        <v>117</v>
      </c>
      <c r="B38">
        <v>79</v>
      </c>
    </row>
    <row r="39" spans="1:2" x14ac:dyDescent="0.25">
      <c r="A39">
        <v>118</v>
      </c>
      <c r="B39">
        <v>80</v>
      </c>
    </row>
    <row r="40" spans="1:2" x14ac:dyDescent="0.25">
      <c r="A40">
        <v>118</v>
      </c>
      <c r="B40">
        <v>81</v>
      </c>
    </row>
    <row r="41" spans="1:2" x14ac:dyDescent="0.25">
      <c r="A41">
        <v>119</v>
      </c>
      <c r="B41">
        <v>82</v>
      </c>
    </row>
    <row r="42" spans="1:2" x14ac:dyDescent="0.25">
      <c r="A42">
        <v>119</v>
      </c>
      <c r="B42">
        <v>83</v>
      </c>
    </row>
    <row r="43" spans="1:2" x14ac:dyDescent="0.25">
      <c r="A43">
        <v>120</v>
      </c>
      <c r="B43">
        <v>84</v>
      </c>
    </row>
    <row r="44" spans="1:2" x14ac:dyDescent="0.25">
      <c r="A44">
        <v>120</v>
      </c>
      <c r="B44">
        <v>85</v>
      </c>
    </row>
    <row r="45" spans="1:2" x14ac:dyDescent="0.25">
      <c r="A45">
        <v>121</v>
      </c>
      <c r="B45">
        <v>86</v>
      </c>
    </row>
    <row r="46" spans="1:2" x14ac:dyDescent="0.25">
      <c r="A46">
        <v>121</v>
      </c>
      <c r="B46">
        <v>87</v>
      </c>
    </row>
    <row r="47" spans="1:2" x14ac:dyDescent="0.25">
      <c r="A47">
        <v>122</v>
      </c>
      <c r="B47">
        <v>88</v>
      </c>
    </row>
    <row r="48" spans="1:2" x14ac:dyDescent="0.25">
      <c r="A48">
        <v>122</v>
      </c>
      <c r="B48">
        <v>89</v>
      </c>
    </row>
    <row r="49" spans="1:2" x14ac:dyDescent="0.25">
      <c r="A49">
        <v>123</v>
      </c>
      <c r="B49">
        <v>90</v>
      </c>
    </row>
    <row r="50" spans="1:2" x14ac:dyDescent="0.25">
      <c r="A50">
        <v>123</v>
      </c>
      <c r="B50">
        <v>91</v>
      </c>
    </row>
    <row r="51" spans="1:2" x14ac:dyDescent="0.25">
      <c r="A51">
        <v>124</v>
      </c>
      <c r="B51">
        <v>92</v>
      </c>
    </row>
    <row r="52" spans="1:2" x14ac:dyDescent="0.25">
      <c r="A52">
        <v>124</v>
      </c>
      <c r="B52">
        <v>93</v>
      </c>
    </row>
    <row r="53" spans="1:2" x14ac:dyDescent="0.25">
      <c r="A53">
        <v>125</v>
      </c>
      <c r="B53">
        <v>94</v>
      </c>
    </row>
    <row r="54" spans="1:2" x14ac:dyDescent="0.25">
      <c r="A54">
        <v>125</v>
      </c>
      <c r="B54">
        <v>95</v>
      </c>
    </row>
    <row r="55" spans="1:2" x14ac:dyDescent="0.25">
      <c r="A55">
        <v>125</v>
      </c>
      <c r="B55">
        <v>54</v>
      </c>
    </row>
    <row r="56" spans="1:2" x14ac:dyDescent="0.25">
      <c r="A56">
        <v>126</v>
      </c>
      <c r="B56">
        <v>94</v>
      </c>
    </row>
    <row r="57" spans="1:2" x14ac:dyDescent="0.25">
      <c r="A57">
        <v>126</v>
      </c>
      <c r="B57">
        <v>95</v>
      </c>
    </row>
    <row r="58" spans="1:2" x14ac:dyDescent="0.25">
      <c r="A58">
        <v>126</v>
      </c>
      <c r="B58">
        <v>54</v>
      </c>
    </row>
    <row r="59" spans="1:2" x14ac:dyDescent="0.25">
      <c r="A59">
        <v>127</v>
      </c>
      <c r="B59">
        <v>150</v>
      </c>
    </row>
    <row r="60" spans="1:2" x14ac:dyDescent="0.25">
      <c r="A60">
        <v>127</v>
      </c>
      <c r="B60">
        <v>151</v>
      </c>
    </row>
    <row r="61" spans="1:2" x14ac:dyDescent="0.25">
      <c r="A61">
        <v>128</v>
      </c>
      <c r="B61">
        <v>61</v>
      </c>
    </row>
    <row r="62" spans="1:2" x14ac:dyDescent="0.25">
      <c r="A62">
        <v>128</v>
      </c>
      <c r="B62">
        <v>152</v>
      </c>
    </row>
    <row r="63" spans="1:2" x14ac:dyDescent="0.25">
      <c r="A63">
        <v>129</v>
      </c>
      <c r="B63">
        <v>51</v>
      </c>
    </row>
    <row r="64" spans="1:2" x14ac:dyDescent="0.25">
      <c r="A64">
        <v>129</v>
      </c>
      <c r="B64">
        <v>153</v>
      </c>
    </row>
    <row r="65" spans="1:2" x14ac:dyDescent="0.25">
      <c r="A65">
        <v>130</v>
      </c>
      <c r="B65">
        <v>61</v>
      </c>
    </row>
    <row r="66" spans="1:2" x14ac:dyDescent="0.25">
      <c r="A66">
        <v>130</v>
      </c>
      <c r="B66">
        <v>154</v>
      </c>
    </row>
    <row r="67" spans="1:2" x14ac:dyDescent="0.25">
      <c r="A67">
        <v>131</v>
      </c>
      <c r="B67">
        <v>155</v>
      </c>
    </row>
    <row r="68" spans="1:2" x14ac:dyDescent="0.25">
      <c r="A68">
        <v>131</v>
      </c>
      <c r="B68">
        <v>154</v>
      </c>
    </row>
    <row r="69" spans="1:2" x14ac:dyDescent="0.25">
      <c r="A69">
        <v>132</v>
      </c>
      <c r="B69">
        <v>156</v>
      </c>
    </row>
    <row r="70" spans="1:2" x14ac:dyDescent="0.25">
      <c r="A70">
        <v>132</v>
      </c>
      <c r="B70">
        <v>157</v>
      </c>
    </row>
    <row r="71" spans="1:2" x14ac:dyDescent="0.25">
      <c r="A71">
        <v>133</v>
      </c>
      <c r="B71">
        <v>158</v>
      </c>
    </row>
    <row r="72" spans="1:2" x14ac:dyDescent="0.25">
      <c r="A72">
        <v>133</v>
      </c>
      <c r="B72">
        <v>159</v>
      </c>
    </row>
    <row r="73" spans="1:2" x14ac:dyDescent="0.25">
      <c r="A73">
        <v>134</v>
      </c>
      <c r="B73">
        <v>160</v>
      </c>
    </row>
    <row r="74" spans="1:2" x14ac:dyDescent="0.25">
      <c r="A74">
        <v>134</v>
      </c>
      <c r="B74">
        <v>161</v>
      </c>
    </row>
    <row r="75" spans="1:2" x14ac:dyDescent="0.25">
      <c r="A75">
        <v>135</v>
      </c>
      <c r="B75">
        <v>162</v>
      </c>
    </row>
    <row r="76" spans="1:2" x14ac:dyDescent="0.25">
      <c r="A76">
        <v>135</v>
      </c>
      <c r="B76">
        <v>163</v>
      </c>
    </row>
    <row r="77" spans="1:2" x14ac:dyDescent="0.25">
      <c r="A77">
        <v>136</v>
      </c>
      <c r="B77">
        <v>164</v>
      </c>
    </row>
    <row r="78" spans="1:2" x14ac:dyDescent="0.25">
      <c r="A78">
        <v>136</v>
      </c>
      <c r="B78">
        <v>165</v>
      </c>
    </row>
    <row r="79" spans="1:2" x14ac:dyDescent="0.25">
      <c r="A79">
        <v>137</v>
      </c>
      <c r="B79">
        <v>95</v>
      </c>
    </row>
    <row r="80" spans="1:2" x14ac:dyDescent="0.25">
      <c r="A80">
        <v>137</v>
      </c>
      <c r="B80">
        <v>166</v>
      </c>
    </row>
    <row r="81" spans="1:2" x14ac:dyDescent="0.25">
      <c r="A81">
        <v>138</v>
      </c>
      <c r="B81">
        <v>95</v>
      </c>
    </row>
    <row r="82" spans="1:2" x14ac:dyDescent="0.25">
      <c r="A82">
        <v>138</v>
      </c>
      <c r="B82">
        <v>167</v>
      </c>
    </row>
    <row r="83" spans="1:2" x14ac:dyDescent="0.25">
      <c r="A83">
        <v>139</v>
      </c>
      <c r="B83">
        <v>164</v>
      </c>
    </row>
    <row r="84" spans="1:2" x14ac:dyDescent="0.25">
      <c r="A84">
        <v>139</v>
      </c>
      <c r="B84">
        <v>168</v>
      </c>
    </row>
    <row r="85" spans="1:2" x14ac:dyDescent="0.25">
      <c r="A85">
        <v>140</v>
      </c>
      <c r="B85">
        <v>169</v>
      </c>
    </row>
    <row r="86" spans="1:2" x14ac:dyDescent="0.25">
      <c r="A86">
        <v>140</v>
      </c>
      <c r="B86">
        <v>170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2F15D-C7E5-45CD-9337-3706D6E911A4}">
  <sheetPr codeName="Sheet9"/>
  <dimension ref="A1:B9"/>
  <sheetViews>
    <sheetView zoomScale="160" zoomScaleNormal="160" workbookViewId="0">
      <selection activeCell="A4" sqref="A4"/>
    </sheetView>
  </sheetViews>
  <sheetFormatPr defaultColWidth="8.85546875" defaultRowHeight="15" x14ac:dyDescent="0.25"/>
  <cols>
    <col min="1" max="1" width="12.42578125" customWidth="1"/>
  </cols>
  <sheetData>
    <row r="1" spans="1:2" x14ac:dyDescent="0.25">
      <c r="A1" s="2" t="s">
        <v>5</v>
      </c>
      <c r="B1" s="2" t="s">
        <v>37</v>
      </c>
    </row>
    <row r="2" spans="1:2" x14ac:dyDescent="0.25">
      <c r="A2">
        <v>1</v>
      </c>
      <c r="B2" t="s">
        <v>106</v>
      </c>
    </row>
    <row r="3" spans="1:2" x14ac:dyDescent="0.25">
      <c r="A3">
        <v>2</v>
      </c>
      <c r="B3" t="s">
        <v>107</v>
      </c>
    </row>
    <row r="4" spans="1:2" x14ac:dyDescent="0.25">
      <c r="A4">
        <v>3</v>
      </c>
      <c r="B4" t="s">
        <v>108</v>
      </c>
    </row>
    <row r="5" spans="1:2" x14ac:dyDescent="0.25">
      <c r="A5">
        <v>4</v>
      </c>
      <c r="B5" t="s">
        <v>109</v>
      </c>
    </row>
    <row r="6" spans="1:2" x14ac:dyDescent="0.25">
      <c r="A6">
        <v>5</v>
      </c>
      <c r="B6" t="s">
        <v>110</v>
      </c>
    </row>
    <row r="7" spans="1:2" x14ac:dyDescent="0.25">
      <c r="A7">
        <v>6</v>
      </c>
      <c r="B7" t="s">
        <v>111</v>
      </c>
    </row>
    <row r="8" spans="1:2" x14ac:dyDescent="0.25">
      <c r="A8">
        <v>7</v>
      </c>
      <c r="B8" t="s">
        <v>112</v>
      </c>
    </row>
    <row r="9" spans="1:2" x14ac:dyDescent="0.25">
      <c r="A9">
        <v>8</v>
      </c>
      <c r="B9" t="s">
        <v>113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6C0266E115364AA9B96DE5BECF7DB6" ma:contentTypeVersion="14" ma:contentTypeDescription="Create a new document." ma:contentTypeScope="" ma:versionID="c921848065db5a49d1de2391ec81580e">
  <xsd:schema xmlns:xsd="http://www.w3.org/2001/XMLSchema" xmlns:xs="http://www.w3.org/2001/XMLSchema" xmlns:p="http://schemas.microsoft.com/office/2006/metadata/properties" xmlns:ns2="631564f6-0349-4cc5-b00d-7cf3ba42f824" xmlns:ns3="46297aa2-77d1-4586-9726-07d56a535ee7" targetNamespace="http://schemas.microsoft.com/office/2006/metadata/properties" ma:root="true" ma:fieldsID="ff9dd1b7eff9d7fccc1b7fb333026bb0" ns2:_="" ns3:_="">
    <xsd:import namespace="631564f6-0349-4cc5-b00d-7cf3ba42f824"/>
    <xsd:import namespace="46297aa2-77d1-4586-9726-07d56a535e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1564f6-0349-4cc5-b00d-7cf3ba42f8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afd9a293-139f-4208-837f-2845fada897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297aa2-77d1-4586-9726-07d56a535ee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83f7f984-84d1-4adc-8904-137f404b280a}" ma:internalName="TaxCatchAll" ma:showField="CatchAllData" ma:web="46297aa2-77d1-4586-9726-07d56a535e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6297aa2-77d1-4586-9726-07d56a535ee7" xsi:nil="true"/>
    <lcf76f155ced4ddcb4097134ff3c332f xmlns="631564f6-0349-4cc5-b00d-7cf3ba42f824">
      <Terms xmlns="http://schemas.microsoft.com/office/infopath/2007/PartnerControls"/>
    </lcf76f155ced4ddcb4097134ff3c332f>
    <MediaLengthInSeconds xmlns="631564f6-0349-4cc5-b00d-7cf3ba42f824" xsi:nil="true"/>
    <SharedWithUsers xmlns="46297aa2-77d1-4586-9726-07d56a535ee7">
      <UserInfo>
        <DisplayName/>
        <AccountId xsi:nil="true"/>
        <AccountType/>
      </UserInfo>
    </SharedWithUsers>
  </documentManagement>
</p:properti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18CD35AE-EB18-43F8-8329-3069E5EB2FE6}">
  <ds:schemaRefs/>
</ds:datastoreItem>
</file>

<file path=customXml/itemProps2.xml><?xml version="1.0" encoding="utf-8"?>
<ds:datastoreItem xmlns:ds="http://schemas.openxmlformats.org/officeDocument/2006/customXml" ds:itemID="{F645313A-30E0-4C63-B959-5095DE1CA526}">
  <ds:schemaRefs/>
</ds:datastoreItem>
</file>

<file path=customXml/itemProps3.xml><?xml version="1.0" encoding="utf-8"?>
<ds:datastoreItem xmlns:ds="http://schemas.openxmlformats.org/officeDocument/2006/customXml" ds:itemID="{B9DACE68-9214-4C3C-B6A5-CCEDE7D82C2D}">
  <ds:schemaRefs/>
</ds:datastoreItem>
</file>

<file path=customXml/itemProps4.xml><?xml version="1.0" encoding="utf-8"?>
<ds:datastoreItem xmlns:ds="http://schemas.openxmlformats.org/officeDocument/2006/customXml" ds:itemID="{32C6F06A-9A15-412F-9258-A8D3544C7D3E}">
  <ds:schemaRefs/>
</ds:datastoreItem>
</file>

<file path=customXml/itemProps5.xml><?xml version="1.0" encoding="utf-8"?>
<ds:datastoreItem xmlns:ds="http://schemas.openxmlformats.org/officeDocument/2006/customXml" ds:itemID="{3454BC20-70A7-48E2-924C-2D666FF3D5C2}">
  <ds:schemaRefs/>
</ds:datastoreItem>
</file>

<file path=customXml/itemProps6.xml><?xml version="1.0" encoding="utf-8"?>
<ds:datastoreItem xmlns:ds="http://schemas.openxmlformats.org/officeDocument/2006/customXml" ds:itemID="{6BD4B0E5-5AC9-4522-BFA8-A3E0A7B0B0B0}">
  <ds:schemaRefs/>
</ds:datastoreItem>
</file>

<file path=customXml/itemProps7.xml><?xml version="1.0" encoding="utf-8"?>
<ds:datastoreItem xmlns:ds="http://schemas.openxmlformats.org/officeDocument/2006/customXml" ds:itemID="{E6C97D6F-A515-40FC-959A-7BC863F10CEF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02BA008F-2FD2-4901-8027-A024DA31C6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1564f6-0349-4cc5-b00d-7cf3ba42f824"/>
    <ds:schemaRef ds:uri="46297aa2-77d1-4586-9726-07d56a535e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9.xml><?xml version="1.0" encoding="utf-8"?>
<ds:datastoreItem xmlns:ds="http://schemas.openxmlformats.org/officeDocument/2006/customXml" ds:itemID="{ED6C61B5-0783-4DBC-A93E-EF35031B1DC2}">
  <ds:schemaRefs/>
</ds:datastoreItem>
</file>

<file path=customXml/itemProps10.xml><?xml version="1.0" encoding="utf-8"?>
<ds:datastoreItem xmlns:ds="http://schemas.openxmlformats.org/officeDocument/2006/customXml" ds:itemID="{EEFF9027-FBEF-4910-8EE6-13D64012C7E9}">
  <ds:schemaRefs>
    <ds:schemaRef ds:uri="http://schemas.microsoft.com/office/2006/metadata/properties"/>
    <ds:schemaRef ds:uri="http://schemas.microsoft.com/office/infopath/2007/PartnerControls"/>
    <ds:schemaRef ds:uri="46297aa2-77d1-4586-9726-07d56a535ee7"/>
    <ds:schemaRef ds:uri="631564f6-0349-4cc5-b00d-7cf3ba42f824"/>
  </ds:schemaRefs>
</ds:datastoreItem>
</file>

<file path=customXml/itemProps11.xml><?xml version="1.0" encoding="utf-8"?>
<ds:datastoreItem xmlns:ds="http://schemas.openxmlformats.org/officeDocument/2006/customXml" ds:itemID="{36D720E8-F50D-4C0C-A619-466B503794A9}">
  <ds:schemaRefs/>
</ds:datastoreItem>
</file>

<file path=customXml/itemProps12.xml><?xml version="1.0" encoding="utf-8"?>
<ds:datastoreItem xmlns:ds="http://schemas.openxmlformats.org/officeDocument/2006/customXml" ds:itemID="{90C0DDF8-0DD8-42F6-95B2-11C89F293449}">
  <ds:schemaRefs/>
</ds:datastoreItem>
</file>

<file path=customXml/itemProps13.xml><?xml version="1.0" encoding="utf-8"?>
<ds:datastoreItem xmlns:ds="http://schemas.openxmlformats.org/officeDocument/2006/customXml" ds:itemID="{F6885885-EEF5-47F5-BA0F-7447B0E6923C}">
  <ds:schemaRefs/>
</ds:datastoreItem>
</file>

<file path=customXml/itemProps14.xml><?xml version="1.0" encoding="utf-8"?>
<ds:datastoreItem xmlns:ds="http://schemas.openxmlformats.org/officeDocument/2006/customXml" ds:itemID="{D0DEBEFC-D824-4F8E-A065-CDD7B7D839C2}">
  <ds:schemaRefs/>
</ds:datastoreItem>
</file>

<file path=customXml/itemProps15.xml><?xml version="1.0" encoding="utf-8"?>
<ds:datastoreItem xmlns:ds="http://schemas.openxmlformats.org/officeDocument/2006/customXml" ds:itemID="{2D3455F6-CC45-4318-A292-6AF91660345E}">
  <ds:schemaRefs/>
</ds:datastoreItem>
</file>

<file path=customXml/itemProps16.xml><?xml version="1.0" encoding="utf-8"?>
<ds:datastoreItem xmlns:ds="http://schemas.openxmlformats.org/officeDocument/2006/customXml" ds:itemID="{3E7A627B-2970-4C96-B6EB-52DBA89D34D1}">
  <ds:schemaRefs/>
</ds:datastoreItem>
</file>

<file path=customXml/itemProps17.xml><?xml version="1.0" encoding="utf-8"?>
<ds:datastoreItem xmlns:ds="http://schemas.openxmlformats.org/officeDocument/2006/customXml" ds:itemID="{8A16A356-2480-4FAB-B6A0-968E7D2D2053}">
  <ds:schemaRefs/>
</ds:datastoreItem>
</file>

<file path=customXml/itemProps18.xml><?xml version="1.0" encoding="utf-8"?>
<ds:datastoreItem xmlns:ds="http://schemas.openxmlformats.org/officeDocument/2006/customXml" ds:itemID="{B3FC0733-FC20-45CC-9588-B5BC293F850C}">
  <ds:schemaRefs/>
</ds:datastoreItem>
</file>

<file path=customXml/itemProps19.xml><?xml version="1.0" encoding="utf-8"?>
<ds:datastoreItem xmlns:ds="http://schemas.openxmlformats.org/officeDocument/2006/customXml" ds:itemID="{FEE9A10A-FC94-406E-BBDB-3810F29DD3AA}">
  <ds:schemaRefs/>
</ds:datastoreItem>
</file>

<file path=customXml/itemProps20.xml><?xml version="1.0" encoding="utf-8"?>
<ds:datastoreItem xmlns:ds="http://schemas.openxmlformats.org/officeDocument/2006/customXml" ds:itemID="{07DB5973-9A0F-44B8-8D6B-7E8F093A0624}">
  <ds:schemaRefs/>
</ds:datastoreItem>
</file>

<file path=customXml/itemProps21.xml><?xml version="1.0" encoding="utf-8"?>
<ds:datastoreItem xmlns:ds="http://schemas.openxmlformats.org/officeDocument/2006/customXml" ds:itemID="{91DE2807-0F06-4DEE-8343-78DD232BEA14}">
  <ds:schemaRefs/>
</ds:datastoreItem>
</file>

<file path=customXml/itemProps22.xml><?xml version="1.0" encoding="utf-8"?>
<ds:datastoreItem xmlns:ds="http://schemas.openxmlformats.org/officeDocument/2006/customXml" ds:itemID="{9B451A74-F3AD-4799-AC03-3323C4C7D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PivotTable</vt:lpstr>
      <vt:lpstr>All Studios P&amp;L</vt:lpstr>
      <vt:lpstr>target</vt:lpstr>
      <vt:lpstr>MovieFinancials</vt:lpstr>
      <vt:lpstr>movies</vt:lpstr>
      <vt:lpstr>financials</vt:lpstr>
      <vt:lpstr>actors</vt:lpstr>
      <vt:lpstr>movie_actor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Dhaval Patel</dc:creator>
  <cp:lastModifiedBy>Miguel Ángel Hernández</cp:lastModifiedBy>
  <dcterms:created xsi:type="dcterms:W3CDTF">2015-06-05T18:17:20Z</dcterms:created>
  <dcterms:modified xsi:type="dcterms:W3CDTF">2023-09-24T19:34:48Z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0x010100686C0266E115364AA9B96DE5BECF7DB6</vt:lpwstr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